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3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eno.amado\Desktop\"/>
    </mc:Choice>
  </mc:AlternateContent>
  <xr:revisionPtr revIDLastSave="0" documentId="8_{6EC3450A-F45A-460F-B83D-2ACC3FE7DCDB}" xr6:coauthVersionLast="47" xr6:coauthVersionMax="47" xr10:uidLastSave="{00000000-0000-0000-0000-000000000000}"/>
  <bookViews>
    <workbookView xWindow="-110" yWindow="-110" windowWidth="19420" windowHeight="10420" xr2:uid="{3722AA9E-64FF-4158-B5C7-913620620070}"/>
  </bookViews>
  <sheets>
    <sheet name="E2A" sheetId="4" r:id="rId1"/>
    <sheet name="2019.2" sheetId="6" r:id="rId2"/>
    <sheet name="2018.1" sheetId="7" r:id="rId3"/>
    <sheet name="2015.2" sheetId="8" r:id="rId4"/>
    <sheet name="2015.1" sheetId="9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6" i="4" l="1"/>
  <c r="C58" i="9" l="1"/>
  <c r="I55" i="9"/>
  <c r="I54" i="9"/>
  <c r="B54" i="9"/>
  <c r="I53" i="9"/>
  <c r="I52" i="9"/>
  <c r="J51" i="9"/>
  <c r="I51" i="9"/>
  <c r="G51" i="9"/>
  <c r="J50" i="9"/>
  <c r="I50" i="9"/>
  <c r="G50" i="9"/>
  <c r="J49" i="9"/>
  <c r="I49" i="9"/>
  <c r="G49" i="9"/>
  <c r="J48" i="9"/>
  <c r="I48" i="9"/>
  <c r="G48" i="9"/>
  <c r="J47" i="9"/>
  <c r="I47" i="9"/>
  <c r="J46" i="9"/>
  <c r="I46" i="9"/>
  <c r="G46" i="9"/>
  <c r="J45" i="9"/>
  <c r="I45" i="9"/>
  <c r="G45" i="9"/>
  <c r="J44" i="9"/>
  <c r="I44" i="9"/>
  <c r="G44" i="9"/>
  <c r="J43" i="9"/>
  <c r="I43" i="9"/>
  <c r="G43" i="9"/>
  <c r="J42" i="9"/>
  <c r="I42" i="9"/>
  <c r="J41" i="9"/>
  <c r="I41" i="9"/>
  <c r="G41" i="9"/>
  <c r="J40" i="9"/>
  <c r="I40" i="9"/>
  <c r="G40" i="9"/>
  <c r="J39" i="9"/>
  <c r="I39" i="9"/>
  <c r="G39" i="9"/>
  <c r="J38" i="9"/>
  <c r="I38" i="9"/>
  <c r="G38" i="9"/>
  <c r="J37" i="9"/>
  <c r="I37" i="9"/>
  <c r="J36" i="9"/>
  <c r="I36" i="9"/>
  <c r="G36" i="9"/>
  <c r="J35" i="9"/>
  <c r="I35" i="9"/>
  <c r="G35" i="9"/>
  <c r="J34" i="9"/>
  <c r="I34" i="9"/>
  <c r="G34" i="9"/>
  <c r="J33" i="9"/>
  <c r="I33" i="9"/>
  <c r="G33" i="9"/>
  <c r="J32" i="9"/>
  <c r="I32" i="9"/>
  <c r="J31" i="9"/>
  <c r="I31" i="9"/>
  <c r="G31" i="9"/>
  <c r="J30" i="9"/>
  <c r="I30" i="9"/>
  <c r="G30" i="9"/>
  <c r="J29" i="9"/>
  <c r="I29" i="9"/>
  <c r="G29" i="9"/>
  <c r="J28" i="9"/>
  <c r="I28" i="9"/>
  <c r="G28" i="9"/>
  <c r="J27" i="9"/>
  <c r="I27" i="9"/>
  <c r="G27" i="9"/>
  <c r="J26" i="9"/>
  <c r="I26" i="9"/>
  <c r="J25" i="9"/>
  <c r="I25" i="9"/>
  <c r="G25" i="9"/>
  <c r="J24" i="9"/>
  <c r="I24" i="9"/>
  <c r="G24" i="9"/>
  <c r="J23" i="9"/>
  <c r="I23" i="9"/>
  <c r="G23" i="9"/>
  <c r="J22" i="9"/>
  <c r="I22" i="9"/>
  <c r="G22" i="9"/>
  <c r="J21" i="9"/>
  <c r="I21" i="9"/>
  <c r="G21" i="9"/>
  <c r="J20" i="9"/>
  <c r="I20" i="9"/>
  <c r="J19" i="9"/>
  <c r="I19" i="9"/>
  <c r="G19" i="9"/>
  <c r="J18" i="9"/>
  <c r="I18" i="9"/>
  <c r="G18" i="9"/>
  <c r="J17" i="9"/>
  <c r="I17" i="9"/>
  <c r="G17" i="9"/>
  <c r="J16" i="9"/>
  <c r="I16" i="9"/>
  <c r="G16" i="9"/>
  <c r="J15" i="9"/>
  <c r="I15" i="9"/>
  <c r="G15" i="9"/>
  <c r="J14" i="9"/>
  <c r="I14" i="9"/>
  <c r="J13" i="9"/>
  <c r="I13" i="9"/>
  <c r="G13" i="9"/>
  <c r="I12" i="9"/>
  <c r="G12" i="9"/>
  <c r="J11" i="9"/>
  <c r="I11" i="9"/>
  <c r="G11" i="9"/>
  <c r="J10" i="9"/>
  <c r="I10" i="9"/>
  <c r="G10" i="9"/>
  <c r="I9" i="9"/>
  <c r="G9" i="9"/>
  <c r="J8" i="9"/>
  <c r="I8" i="9"/>
  <c r="G8" i="9"/>
  <c r="C57" i="8"/>
  <c r="I54" i="8"/>
  <c r="I53" i="8"/>
  <c r="B53" i="8"/>
  <c r="I52" i="8"/>
  <c r="I51" i="8"/>
  <c r="J50" i="8"/>
  <c r="I50" i="8"/>
  <c r="G50" i="8"/>
  <c r="J49" i="8"/>
  <c r="I49" i="8"/>
  <c r="G49" i="8"/>
  <c r="J48" i="8"/>
  <c r="I48" i="8"/>
  <c r="G48" i="8"/>
  <c r="J47" i="8"/>
  <c r="I47" i="8"/>
  <c r="G47" i="8"/>
  <c r="J46" i="8"/>
  <c r="I46" i="8"/>
  <c r="J45" i="8"/>
  <c r="I45" i="8"/>
  <c r="G45" i="8"/>
  <c r="J44" i="8"/>
  <c r="I44" i="8"/>
  <c r="G44" i="8"/>
  <c r="J43" i="8"/>
  <c r="I43" i="8"/>
  <c r="G43" i="8"/>
  <c r="J42" i="8"/>
  <c r="I42" i="8"/>
  <c r="G42" i="8"/>
  <c r="J41" i="8"/>
  <c r="I41" i="8"/>
  <c r="J40" i="8"/>
  <c r="I40" i="8"/>
  <c r="G40" i="8"/>
  <c r="J39" i="8"/>
  <c r="I39" i="8"/>
  <c r="G39" i="8"/>
  <c r="J38" i="8"/>
  <c r="I38" i="8"/>
  <c r="G38" i="8"/>
  <c r="J37" i="8"/>
  <c r="I37" i="8"/>
  <c r="G37" i="8"/>
  <c r="J36" i="8"/>
  <c r="I36" i="8"/>
  <c r="J35" i="8"/>
  <c r="I35" i="8"/>
  <c r="G35" i="8"/>
  <c r="J34" i="8"/>
  <c r="I34" i="8"/>
  <c r="G34" i="8"/>
  <c r="J33" i="8"/>
  <c r="I33" i="8"/>
  <c r="G33" i="8"/>
  <c r="J32" i="8"/>
  <c r="I32" i="8"/>
  <c r="G32" i="8"/>
  <c r="J31" i="8"/>
  <c r="I31" i="8"/>
  <c r="J30" i="8"/>
  <c r="I30" i="8"/>
  <c r="G30" i="8"/>
  <c r="J29" i="8"/>
  <c r="I29" i="8"/>
  <c r="G29" i="8"/>
  <c r="J28" i="8"/>
  <c r="I28" i="8"/>
  <c r="G28" i="8"/>
  <c r="J27" i="8"/>
  <c r="I27" i="8"/>
  <c r="G27" i="8"/>
  <c r="J26" i="8"/>
  <c r="I26" i="8"/>
  <c r="G26" i="8"/>
  <c r="J25" i="8"/>
  <c r="I25" i="8"/>
  <c r="J24" i="8"/>
  <c r="I24" i="8"/>
  <c r="G24" i="8"/>
  <c r="J23" i="8"/>
  <c r="I23" i="8"/>
  <c r="G23" i="8"/>
  <c r="J22" i="8"/>
  <c r="I22" i="8"/>
  <c r="G22" i="8"/>
  <c r="J21" i="8"/>
  <c r="I21" i="8"/>
  <c r="G21" i="8"/>
  <c r="J20" i="8"/>
  <c r="I20" i="8"/>
  <c r="G20" i="8"/>
  <c r="J19" i="8"/>
  <c r="I19" i="8"/>
  <c r="J18" i="8"/>
  <c r="I18" i="8"/>
  <c r="G18" i="8"/>
  <c r="J17" i="8"/>
  <c r="I17" i="8"/>
  <c r="G17" i="8"/>
  <c r="J16" i="8"/>
  <c r="I16" i="8"/>
  <c r="G16" i="8"/>
  <c r="J15" i="8"/>
  <c r="I15" i="8"/>
  <c r="G15" i="8"/>
  <c r="J14" i="8"/>
  <c r="I14" i="8"/>
  <c r="G14" i="8"/>
  <c r="J13" i="8"/>
  <c r="I13" i="8"/>
  <c r="J12" i="8"/>
  <c r="I12" i="8"/>
  <c r="G12" i="8"/>
  <c r="J11" i="8"/>
  <c r="I11" i="8"/>
  <c r="G11" i="8"/>
  <c r="J10" i="8"/>
  <c r="I10" i="8"/>
  <c r="G10" i="8"/>
  <c r="I9" i="8"/>
  <c r="G9" i="8"/>
  <c r="J8" i="8"/>
  <c r="I8" i="8"/>
  <c r="G8" i="8"/>
  <c r="C62" i="7"/>
  <c r="I59" i="7"/>
  <c r="I58" i="7"/>
  <c r="B58" i="7"/>
  <c r="I57" i="7"/>
  <c r="I56" i="7"/>
  <c r="J55" i="7"/>
  <c r="I55" i="7"/>
  <c r="G55" i="7"/>
  <c r="J54" i="7"/>
  <c r="I54" i="7"/>
  <c r="G54" i="7"/>
  <c r="I53" i="7"/>
  <c r="G53" i="7"/>
  <c r="J52" i="7"/>
  <c r="I52" i="7"/>
  <c r="G52" i="7"/>
  <c r="J51" i="7"/>
  <c r="I51" i="7"/>
  <c r="G51" i="7"/>
  <c r="J50" i="7"/>
  <c r="I50" i="7"/>
  <c r="J49" i="7"/>
  <c r="I49" i="7"/>
  <c r="G49" i="7"/>
  <c r="J48" i="7"/>
  <c r="I48" i="7"/>
  <c r="G48" i="7"/>
  <c r="J47" i="7"/>
  <c r="I47" i="7"/>
  <c r="G47" i="7"/>
  <c r="J46" i="7"/>
  <c r="I46" i="7"/>
  <c r="G46" i="7"/>
  <c r="J45" i="7"/>
  <c r="I45" i="7"/>
  <c r="G45" i="7"/>
  <c r="J44" i="7"/>
  <c r="I44" i="7"/>
  <c r="J43" i="7"/>
  <c r="I43" i="7"/>
  <c r="G43" i="7"/>
  <c r="J42" i="7"/>
  <c r="I42" i="7"/>
  <c r="G42" i="7"/>
  <c r="J41" i="7"/>
  <c r="I41" i="7"/>
  <c r="G41" i="7"/>
  <c r="I40" i="7"/>
  <c r="G40" i="7"/>
  <c r="J39" i="7"/>
  <c r="I39" i="7"/>
  <c r="G39" i="7"/>
  <c r="J38" i="7"/>
  <c r="I38" i="7"/>
  <c r="G38" i="7"/>
  <c r="J37" i="7"/>
  <c r="I37" i="7"/>
  <c r="J36" i="7"/>
  <c r="I36" i="7"/>
  <c r="G36" i="7"/>
  <c r="J35" i="7"/>
  <c r="I35" i="7"/>
  <c r="G35" i="7"/>
  <c r="J34" i="7"/>
  <c r="I34" i="7"/>
  <c r="G34" i="7"/>
  <c r="J33" i="7"/>
  <c r="I33" i="7"/>
  <c r="G33" i="7"/>
  <c r="J32" i="7"/>
  <c r="I32" i="7"/>
  <c r="G32" i="7"/>
  <c r="J31" i="7"/>
  <c r="I31" i="7"/>
  <c r="J30" i="7"/>
  <c r="I30" i="7"/>
  <c r="G30" i="7"/>
  <c r="J29" i="7"/>
  <c r="I29" i="7"/>
  <c r="G29" i="7"/>
  <c r="J28" i="7"/>
  <c r="I28" i="7"/>
  <c r="G28" i="7"/>
  <c r="J27" i="7"/>
  <c r="I27" i="7"/>
  <c r="G27" i="7"/>
  <c r="J26" i="7"/>
  <c r="I26" i="7"/>
  <c r="G26" i="7"/>
  <c r="J25" i="7"/>
  <c r="I25" i="7"/>
  <c r="J24" i="7"/>
  <c r="I24" i="7"/>
  <c r="G24" i="7"/>
  <c r="J23" i="7"/>
  <c r="I23" i="7"/>
  <c r="G23" i="7"/>
  <c r="J22" i="7"/>
  <c r="I22" i="7"/>
  <c r="G22" i="7"/>
  <c r="J21" i="7"/>
  <c r="I21" i="7"/>
  <c r="G21" i="7"/>
  <c r="J20" i="7"/>
  <c r="I20" i="7"/>
  <c r="G20" i="7"/>
  <c r="J19" i="7"/>
  <c r="I19" i="7"/>
  <c r="J18" i="7"/>
  <c r="I18" i="7"/>
  <c r="G18" i="7"/>
  <c r="J17" i="7"/>
  <c r="I17" i="7"/>
  <c r="G17" i="7"/>
  <c r="J16" i="7"/>
  <c r="I16" i="7"/>
  <c r="G16" i="7"/>
  <c r="J15" i="7"/>
  <c r="I15" i="7"/>
  <c r="G15" i="7"/>
  <c r="J14" i="7"/>
  <c r="I14" i="7"/>
  <c r="G14" i="7"/>
  <c r="J13" i="7"/>
  <c r="I13" i="7"/>
  <c r="J12" i="7"/>
  <c r="I12" i="7"/>
  <c r="G12" i="7"/>
  <c r="J11" i="7"/>
  <c r="I11" i="7"/>
  <c r="G11" i="7"/>
  <c r="J10" i="7"/>
  <c r="I10" i="7"/>
  <c r="G10" i="7"/>
  <c r="I9" i="7"/>
  <c r="G9" i="7"/>
  <c r="J8" i="7"/>
  <c r="I8" i="7"/>
  <c r="G8" i="7"/>
  <c r="C61" i="6"/>
  <c r="B57" i="6"/>
  <c r="I55" i="6"/>
  <c r="J54" i="6"/>
  <c r="I54" i="6"/>
  <c r="G54" i="6"/>
  <c r="J53" i="6"/>
  <c r="I53" i="6"/>
  <c r="G53" i="6"/>
  <c r="J52" i="6"/>
  <c r="I52" i="6"/>
  <c r="G52" i="6"/>
  <c r="J51" i="6"/>
  <c r="I51" i="6"/>
  <c r="G51" i="6"/>
  <c r="J50" i="6"/>
  <c r="I50" i="6"/>
  <c r="J49" i="6"/>
  <c r="I49" i="6"/>
  <c r="G49" i="6"/>
  <c r="J48" i="6"/>
  <c r="I48" i="6"/>
  <c r="G48" i="6"/>
  <c r="J47" i="6"/>
  <c r="I47" i="6"/>
  <c r="G47" i="6"/>
  <c r="J46" i="6"/>
  <c r="I46" i="6"/>
  <c r="G46" i="6"/>
  <c r="J45" i="6"/>
  <c r="I45" i="6"/>
  <c r="G45" i="6"/>
  <c r="J44" i="6"/>
  <c r="I44" i="6"/>
  <c r="J43" i="6"/>
  <c r="I43" i="6"/>
  <c r="G43" i="6"/>
  <c r="J42" i="6"/>
  <c r="I42" i="6"/>
  <c r="G42" i="6"/>
  <c r="J41" i="6"/>
  <c r="I41" i="6"/>
  <c r="G41" i="6"/>
  <c r="J40" i="6"/>
  <c r="I40" i="6"/>
  <c r="G40" i="6"/>
  <c r="J39" i="6"/>
  <c r="I39" i="6"/>
  <c r="G39" i="6"/>
  <c r="J38" i="6"/>
  <c r="I38" i="6"/>
  <c r="J37" i="6"/>
  <c r="I37" i="6"/>
  <c r="G37" i="6"/>
  <c r="J36" i="6"/>
  <c r="I36" i="6"/>
  <c r="G36" i="6"/>
  <c r="J35" i="6"/>
  <c r="I35" i="6"/>
  <c r="G35" i="6"/>
  <c r="J34" i="6"/>
  <c r="I34" i="6"/>
  <c r="G34" i="6"/>
  <c r="J33" i="6"/>
  <c r="I33" i="6"/>
  <c r="G33" i="6"/>
  <c r="J32" i="6"/>
  <c r="I32" i="6"/>
  <c r="J31" i="6"/>
  <c r="I31" i="6"/>
  <c r="G31" i="6"/>
  <c r="J30" i="6"/>
  <c r="I30" i="6"/>
  <c r="G30" i="6"/>
  <c r="J29" i="6"/>
  <c r="I29" i="6"/>
  <c r="G29" i="6"/>
  <c r="J28" i="6"/>
  <c r="I28" i="6"/>
  <c r="G28" i="6"/>
  <c r="J27" i="6"/>
  <c r="I27" i="6"/>
  <c r="G27" i="6"/>
  <c r="J26" i="6"/>
  <c r="I26" i="6"/>
  <c r="J25" i="6"/>
  <c r="I25" i="6"/>
  <c r="G25" i="6"/>
  <c r="J24" i="6"/>
  <c r="I24" i="6"/>
  <c r="G24" i="6"/>
  <c r="J23" i="6"/>
  <c r="I23" i="6"/>
  <c r="G23" i="6"/>
  <c r="J22" i="6"/>
  <c r="I22" i="6"/>
  <c r="G22" i="6"/>
  <c r="J21" i="6"/>
  <c r="I21" i="6"/>
  <c r="G21" i="6"/>
  <c r="J20" i="6"/>
  <c r="I20" i="6"/>
  <c r="J19" i="6"/>
  <c r="I19" i="6"/>
  <c r="G19" i="6"/>
  <c r="J18" i="6"/>
  <c r="I18" i="6"/>
  <c r="G18" i="6"/>
  <c r="J17" i="6"/>
  <c r="I17" i="6"/>
  <c r="G17" i="6"/>
  <c r="J16" i="6"/>
  <c r="I16" i="6"/>
  <c r="G16" i="6"/>
  <c r="J15" i="6"/>
  <c r="I15" i="6"/>
  <c r="G15" i="6"/>
  <c r="J14" i="6"/>
  <c r="I14" i="6"/>
  <c r="J13" i="6"/>
  <c r="I13" i="6"/>
  <c r="G13" i="6"/>
  <c r="J12" i="6"/>
  <c r="I12" i="6"/>
  <c r="G12" i="6"/>
  <c r="J11" i="6"/>
  <c r="I11" i="6"/>
  <c r="G11" i="6"/>
  <c r="I10" i="6"/>
  <c r="G10" i="6"/>
  <c r="J9" i="6"/>
  <c r="I9" i="6"/>
  <c r="G9" i="6"/>
  <c r="G14" i="4" l="1"/>
  <c r="H14" i="4" s="1"/>
  <c r="G19" i="4"/>
  <c r="H19" i="4" s="1"/>
  <c r="G24" i="4" l="1"/>
  <c r="H24" i="4" s="1"/>
  <c r="G29" i="4"/>
  <c r="H29" i="4" s="1"/>
  <c r="G39" i="4"/>
  <c r="H39" i="4" s="1"/>
  <c r="G34" i="4"/>
  <c r="H34" i="4" s="1"/>
  <c r="G49" i="4"/>
  <c r="H49" i="4" s="1"/>
  <c r="G44" i="4"/>
  <c r="H44" i="4" s="1"/>
  <c r="B103" i="4"/>
  <c r="G96" i="4" l="1"/>
  <c r="H96" i="4" s="1"/>
  <c r="G90" i="4"/>
  <c r="H90" i="4" s="1"/>
  <c r="G84" i="4"/>
  <c r="H84" i="4" s="1"/>
  <c r="G79" i="4"/>
  <c r="H79" i="4" s="1"/>
  <c r="G74" i="4"/>
  <c r="H74" i="4" s="1"/>
  <c r="G69" i="4"/>
  <c r="H69" i="4" s="1"/>
  <c r="G64" i="4"/>
  <c r="H64" i="4" s="1"/>
  <c r="G59" i="4"/>
  <c r="H59" i="4" s="1"/>
  <c r="G54" i="4"/>
  <c r="H54" i="4" s="1"/>
  <c r="G9" i="4"/>
  <c r="H9" i="4" s="1"/>
</calcChain>
</file>

<file path=xl/sharedStrings.xml><?xml version="1.0" encoding="utf-8"?>
<sst xmlns="http://schemas.openxmlformats.org/spreadsheetml/2006/main" count="450" uniqueCount="141">
  <si>
    <t>Currículo: E2A</t>
  </si>
  <si>
    <t xml:space="preserve">Análise Curricular para Aproveitamento de Estudos no curso 
</t>
  </si>
  <si>
    <t>BACHARELADO EM ADMINISTRAÇÃO</t>
  </si>
  <si>
    <t xml:space="preserve">NOME: </t>
  </si>
  <si>
    <t>Cód. </t>
  </si>
  <si>
    <t>Percurso</t>
  </si>
  <si>
    <t>C.H </t>
  </si>
  <si>
    <t>Disciplinas Cursadas </t>
  </si>
  <si>
    <t>C.H. </t>
  </si>
  <si>
    <t>Adap. </t>
  </si>
  <si>
    <t>  </t>
  </si>
  <si>
    <t>ADMINISTRAÇÃO E INTEGRAÇÃO DE OPERAÇÕES E QUALIDADE</t>
  </si>
  <si>
    <t>ADMINISTRAÇÃO E INTEGRAÇÃO LOGÍSTICA</t>
  </si>
  <si>
    <t>ASPECTOS HUMANOS E SOCIOCULTURAIS</t>
  </si>
  <si>
    <t>FUNDAMENTOS ECONÔMICOS</t>
  </si>
  <si>
    <t>INOVAÇÃO, SUSTENTABILIDADE E COMPETITIVIDADE EMPRESARIAL</t>
  </si>
  <si>
    <t>MARKETING, BRANDING E PROSPECÇÃO DE MERCADOS</t>
  </si>
  <si>
    <t>MERCADO FINANCEIRO E VALUATION</t>
  </si>
  <si>
    <t>TOMADA DE DECISÃO</t>
  </si>
  <si>
    <t>CENÁRIOS E DESENVOLVIMENTO SOCIOECONÔMICO</t>
  </si>
  <si>
    <t>CORE CURRICULUM</t>
  </si>
  <si>
    <t>ESTRUTURAS E AMBIENTES DAS ORGANIZAÇÕES</t>
  </si>
  <si>
    <t>GESTÃO ESTRATÉGICA DE FINANÇAS</t>
  </si>
  <si>
    <t>GLOBALIZAÇÃO E ESTRATÉGIA</t>
  </si>
  <si>
    <t>REGISTROS E DEMONSTRAÇÕES CONTÁBEIS</t>
  </si>
  <si>
    <t>UNIDADE CURRICULAR DIGITAL PERSONALIZÁVEL</t>
  </si>
  <si>
    <t>VIDA &amp; CARREIRA</t>
  </si>
  <si>
    <t>Extensão</t>
  </si>
  <si>
    <t>EXTENSÃO</t>
  </si>
  <si>
    <t>Atividades complementares</t>
  </si>
  <si>
    <t>Total Curricular </t>
  </si>
  <si>
    <t>FIM</t>
  </si>
  <si>
    <t>DATA:</t>
  </si>
  <si>
    <t>Análise Curricular para Aproveitamento de Estudos
 Bacharelado em Administração
Currículo: 2019.2</t>
  </si>
  <si>
    <t>ANDREZA GONCALVES DA SILVA</t>
  </si>
  <si>
    <t>Disciplinas 1º semestre </t>
  </si>
  <si>
    <t>Validação</t>
  </si>
  <si>
    <t>Comunicação</t>
  </si>
  <si>
    <t>Fundamentos da administração</t>
  </si>
  <si>
    <t>Fundamentos de economia</t>
  </si>
  <si>
    <t>Jogos matemáticos</t>
  </si>
  <si>
    <t>Direito aplicado a negócios</t>
  </si>
  <si>
    <t>Disciplinas 2º semestre</t>
  </si>
  <si>
    <t>Liderança, cultura e comportamento organizacional</t>
  </si>
  <si>
    <t>Fundamentos de marketing</t>
  </si>
  <si>
    <t>Empreendedorismo</t>
  </si>
  <si>
    <t>Estratégias de negociação</t>
  </si>
  <si>
    <t>Teorias organizacionais</t>
  </si>
  <si>
    <t>Disciplinas 3º semestre</t>
  </si>
  <si>
    <t>Estatística descritiva</t>
  </si>
  <si>
    <t>Desafios contemporâneos</t>
  </si>
  <si>
    <t>Gestão da qualidade e de processos</t>
  </si>
  <si>
    <t>Introdução à contabilidade</t>
  </si>
  <si>
    <t>Gestão de pessoas</t>
  </si>
  <si>
    <t>Disciplinas 4º semestre</t>
  </si>
  <si>
    <t>Gestão da logística integrada</t>
  </si>
  <si>
    <t>Criatividade, gestão do conhecimento e inovação</t>
  </si>
  <si>
    <t>Metodologia científica</t>
  </si>
  <si>
    <t>Matemática financeira</t>
  </si>
  <si>
    <t>Pesquisa de Mercado</t>
  </si>
  <si>
    <t>Disciplinas 5º semestre</t>
  </si>
  <si>
    <t>Métodos de preço, custos e custeio</t>
  </si>
  <si>
    <t>Administração da produção e de materiais</t>
  </si>
  <si>
    <t>Desenvolvimento humano e social</t>
  </si>
  <si>
    <t>Teoria da decisão e simulações em negócios</t>
  </si>
  <si>
    <t>Gestão estratégica de projetos</t>
  </si>
  <si>
    <t>Disciplinas 6º semestre</t>
  </si>
  <si>
    <t>Antropologia e cultura brasileira</t>
  </si>
  <si>
    <t>Planejamento e gestão estratégica</t>
  </si>
  <si>
    <t>Gestão financeira e orçamentária</t>
  </si>
  <si>
    <t>Laboratório de gestão: empreendedorismo social</t>
  </si>
  <si>
    <t>Pratica profissional em negócios I</t>
  </si>
  <si>
    <t>Disciplinas 7º semestre</t>
  </si>
  <si>
    <t>Finanças de longo prazo</t>
  </si>
  <si>
    <t>Laboratório de gestão: diagnóstico organizacional</t>
  </si>
  <si>
    <t>Sistemas de informações gerenciais</t>
  </si>
  <si>
    <t>Optativa I</t>
  </si>
  <si>
    <t>Pratica profissional em negócios II</t>
  </si>
  <si>
    <t>Disciplinas 8º semestre</t>
  </si>
  <si>
    <t>Laboratório de gestão: projetos de consultoria</t>
  </si>
  <si>
    <t>Optativa II</t>
  </si>
  <si>
    <t>Pratica profissional em negócios III</t>
  </si>
  <si>
    <t>Negociação internacional e relações multiculturais</t>
  </si>
  <si>
    <t>Assinatura do Coordenador do Curso</t>
  </si>
  <si>
    <t>Interessado - Ciente                                         Assinatura:                                                                              DATA  __/__/____</t>
  </si>
  <si>
    <t>Análise Curricular para Aproveitamento de Estudos
 Bacharelado em Administração
Currículo: 2018.1</t>
  </si>
  <si>
    <t>Direito empresarial</t>
  </si>
  <si>
    <t>Fundamentos da economia</t>
  </si>
  <si>
    <t>Teorias da Administração e das Organizações</t>
  </si>
  <si>
    <t>Gestão estratégica de pessoas</t>
  </si>
  <si>
    <t>Qualidade e certificações</t>
  </si>
  <si>
    <t>Estatística para gestores</t>
  </si>
  <si>
    <t>Gestão por processos</t>
  </si>
  <si>
    <t>Operações e Logística</t>
  </si>
  <si>
    <t>Contabilidade gerencial</t>
  </si>
  <si>
    <t>Pesquisa de mercado</t>
  </si>
  <si>
    <t>Planejamento e Gestão Estratégica</t>
  </si>
  <si>
    <t>Gestão de projetos</t>
  </si>
  <si>
    <t>Negociação de Vendas</t>
  </si>
  <si>
    <t>Laboratório de gestão: criação de novos negócios</t>
  </si>
  <si>
    <t>Prática profissional I</t>
  </si>
  <si>
    <t>Optativa I- (optativa)</t>
  </si>
  <si>
    <t>Sistemas de Informações Gerenciais</t>
  </si>
  <si>
    <t>Prática profissional II</t>
  </si>
  <si>
    <t>Optativa II - (optativa)</t>
  </si>
  <si>
    <t>Processos decisórios</t>
  </si>
  <si>
    <t>Prática profissional III</t>
  </si>
  <si>
    <t>Optativa III - (optativa)</t>
  </si>
  <si>
    <t>Marketing de serviços</t>
  </si>
  <si>
    <t>Análise Curricular para Aproveitamento de Estudos
 Bacharelado em Administração
Currículo: 2015.2</t>
  </si>
  <si>
    <t>Contabilidade geral</t>
  </si>
  <si>
    <t>Modelos de administração</t>
  </si>
  <si>
    <t>Gestão de marketing</t>
  </si>
  <si>
    <t>Economia</t>
  </si>
  <si>
    <t>Comportamento organizacional</t>
  </si>
  <si>
    <t>Matemática para gestores</t>
  </si>
  <si>
    <t>Legislação trabalhista e tributária</t>
  </si>
  <si>
    <t>Custos e orçamento empresarial</t>
  </si>
  <si>
    <t>Estratégias mercadológicas</t>
  </si>
  <si>
    <t>Gestão financeira</t>
  </si>
  <si>
    <t>Gestão da produção e operações</t>
  </si>
  <si>
    <t>Pesquisa e comportamento de compra e consumo</t>
  </si>
  <si>
    <t>Logística empresarial integrada</t>
  </si>
  <si>
    <t>Criatividade e inovaçao</t>
  </si>
  <si>
    <t>Gestao financeira avançada</t>
  </si>
  <si>
    <t>Estrategia empresarial</t>
  </si>
  <si>
    <t>Gestao da tecnologia da informação e comunicação</t>
  </si>
  <si>
    <t>Sistema de medição e desempenho</t>
  </si>
  <si>
    <t>Gestao de projetos</t>
  </si>
  <si>
    <t>Gestão ambiental e sustentabilidade</t>
  </si>
  <si>
    <t>Gestão do conhecimento e inteligência competitiva</t>
  </si>
  <si>
    <t>Projeto integrado i: administração</t>
  </si>
  <si>
    <t>Diagnostico e consultoria empresarial</t>
  </si>
  <si>
    <t>Projeto integrado ii: administração</t>
  </si>
  <si>
    <t>Gestão internacional de negócios</t>
  </si>
  <si>
    <t>Optativa i</t>
  </si>
  <si>
    <t>Análise Curricular para Aproveitamento de Estudos
 Bacharelado em Administração
Currículo: 2015.1</t>
  </si>
  <si>
    <t>Raciocínio lógico</t>
  </si>
  <si>
    <t>Comunicação empresarial</t>
  </si>
  <si>
    <t>Comunicação e expressão</t>
  </si>
  <si>
    <t>Optativa ii - (optativa)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</si>
</sst>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1"/>
      <name val="Arial"/>
      <family val="2"/>
    </font>
    <font>
      <sz val="8"/>
      <color rgb="FF000000"/>
      <name val="Tahoma"/>
      <family val="2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9" fontId="4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0" fontId="0" fillId="0" borderId="5" xfId="0" applyBorder="1"/>
    <xf numFmtId="0" fontId="0" fillId="0" borderId="6" xfId="0" applyBorder="1"/>
    <xf numFmtId="0" fontId="3" fillId="0" borderId="0" xfId="0" applyFont="1"/>
    <xf numFmtId="0" fontId="1" fillId="0" borderId="10" xfId="0" applyFont="1" applyBorder="1" applyAlignment="1">
      <alignment vertical="center"/>
    </xf>
    <xf numFmtId="0" fontId="4" fillId="2" borderId="1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2" fillId="0" borderId="16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wrapText="1"/>
    </xf>
    <xf numFmtId="0" fontId="2" fillId="0" borderId="16" xfId="0" applyFont="1" applyBorder="1" applyAlignment="1">
      <alignment horizontal="center" wrapText="1"/>
    </xf>
    <xf numFmtId="0" fontId="0" fillId="0" borderId="18" xfId="0" applyBorder="1" applyAlignment="1">
      <alignment horizontal="center" vertical="center" wrapText="1"/>
    </xf>
    <xf numFmtId="0" fontId="0" fillId="0" borderId="18" xfId="0" applyBorder="1" applyAlignment="1">
      <alignment horizontal="center" wrapText="1"/>
    </xf>
    <xf numFmtId="14" fontId="1" fillId="0" borderId="7" xfId="0" applyNumberFormat="1" applyFont="1" applyBorder="1" applyAlignment="1">
      <alignment horizontal="left"/>
    </xf>
    <xf numFmtId="14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1" fillId="0" borderId="10" xfId="0" applyFont="1" applyBorder="1"/>
    <xf numFmtId="0" fontId="1" fillId="3" borderId="1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2" fillId="0" borderId="10" xfId="0" applyFont="1" applyBorder="1" applyAlignment="1">
      <alignment horizontal="center" vertical="center" wrapText="1"/>
    </xf>
    <xf numFmtId="0" fontId="0" fillId="0" borderId="1" xfId="0" applyBorder="1"/>
    <xf numFmtId="0" fontId="10" fillId="0" borderId="1" xfId="0" applyFon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1" fillId="0" borderId="0" xfId="0" applyFont="1"/>
    <xf numFmtId="14" fontId="1" fillId="0" borderId="5" xfId="0" applyNumberFormat="1" applyFont="1" applyBorder="1" applyAlignment="1">
      <alignment horizontal="right"/>
    </xf>
    <xf numFmtId="14" fontId="1" fillId="0" borderId="0" xfId="0" applyNumberFormat="1" applyFont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4" xfId="0" applyBorder="1" applyAlignment="1">
      <alignment horizontal="left" wrapText="1"/>
    </xf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9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0" fillId="0" borderId="12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14" fontId="1" fillId="0" borderId="8" xfId="0" applyNumberFormat="1" applyFont="1" applyBorder="1" applyAlignment="1">
      <alignment horizontal="left" vertical="center" indent="29"/>
    </xf>
    <xf numFmtId="0" fontId="1" fillId="0" borderId="8" xfId="0" applyFont="1" applyBorder="1" applyAlignment="1">
      <alignment horizontal="left" vertical="center" indent="29"/>
    </xf>
    <xf numFmtId="0" fontId="1" fillId="0" borderId="9" xfId="0" applyFont="1" applyBorder="1" applyAlignment="1">
      <alignment horizontal="left" vertical="center" indent="29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8" fillId="3" borderId="8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9" fillId="4" borderId="0" xfId="0" applyFont="1" applyFill="1" applyAlignment="1">
      <alignment horizontal="center" wrapText="1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4AF84"/>
      <color rgb="FF5B9BD5"/>
      <color rgb="FFF15D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2.emf"/><Relationship Id="rId4" Type="http://schemas.openxmlformats.org/officeDocument/2006/relationships/image" Target="../media/image7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21.emf"/><Relationship Id="rId7" Type="http://schemas.openxmlformats.org/officeDocument/2006/relationships/image" Target="../media/image17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10" Type="http://schemas.openxmlformats.org/officeDocument/2006/relationships/image" Target="../media/image15.emf"/><Relationship Id="rId4" Type="http://schemas.openxmlformats.org/officeDocument/2006/relationships/image" Target="../media/image2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9.emf"/><Relationship Id="rId7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Relationship Id="rId9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37.emf"/><Relationship Id="rId7" Type="http://schemas.openxmlformats.org/officeDocument/2006/relationships/image" Target="../media/image33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6.emf"/><Relationship Id="rId9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45.emf"/><Relationship Id="rId7" Type="http://schemas.openxmlformats.org/officeDocument/2006/relationships/image" Target="../media/image41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Relationship Id="rId9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105834</xdr:colOff>
      <xdr:row>0</xdr:row>
      <xdr:rowOff>179917</xdr:rowOff>
    </xdr:from>
    <xdr:to>
      <xdr:col>14</xdr:col>
      <xdr:colOff>531378</xdr:colOff>
      <xdr:row>6</xdr:row>
      <xdr:rowOff>172851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54634" y="179917"/>
          <a:ext cx="4121244" cy="1488359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 i="1" u="sng">
              <a:solidFill>
                <a:schemeClr val="bg1"/>
              </a:solidFill>
            </a:rPr>
            <a:t>Campo</a:t>
          </a:r>
          <a:r>
            <a:rPr lang="pt-BR" sz="1400" b="1" i="1" u="sng" baseline="0">
              <a:solidFill>
                <a:schemeClr val="bg1"/>
              </a:solidFill>
            </a:rPr>
            <a:t> de observação</a:t>
          </a:r>
          <a:endParaRPr lang="pt-BR" sz="1400" b="1" i="1" u="sng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6</xdr:row>
          <xdr:rowOff>114300</xdr:rowOff>
        </xdr:from>
        <xdr:to>
          <xdr:col>2</xdr:col>
          <xdr:colOff>742950</xdr:colOff>
          <xdr:row>6</xdr:row>
          <xdr:rowOff>476250</xdr:rowOff>
        </xdr:to>
        <xdr:sp macro="" textlink="">
          <xdr:nvSpPr>
            <xdr:cNvPr id="3073" name="CBXTransfExtern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6</xdr:row>
          <xdr:rowOff>114300</xdr:rowOff>
        </xdr:from>
        <xdr:to>
          <xdr:col>2</xdr:col>
          <xdr:colOff>1809750</xdr:colOff>
          <xdr:row>6</xdr:row>
          <xdr:rowOff>476250</xdr:rowOff>
        </xdr:to>
        <xdr:sp macro="" textlink="">
          <xdr:nvSpPr>
            <xdr:cNvPr id="3074" name="CBXTransfIntern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6</xdr:row>
          <xdr:rowOff>114300</xdr:rowOff>
        </xdr:from>
        <xdr:to>
          <xdr:col>4</xdr:col>
          <xdr:colOff>127000</xdr:colOff>
          <xdr:row>6</xdr:row>
          <xdr:rowOff>476250</xdr:rowOff>
        </xdr:to>
        <xdr:sp macro="" textlink="">
          <xdr:nvSpPr>
            <xdr:cNvPr id="3075" name="CBXReingressoReabertura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6</xdr:row>
          <xdr:rowOff>114300</xdr:rowOff>
        </xdr:from>
        <xdr:to>
          <xdr:col>4</xdr:col>
          <xdr:colOff>1174750</xdr:colOff>
          <xdr:row>6</xdr:row>
          <xdr:rowOff>476250</xdr:rowOff>
        </xdr:to>
        <xdr:sp macro="" textlink="">
          <xdr:nvSpPr>
            <xdr:cNvPr id="3076" name="CBXReanalisedeReingresso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1352550</xdr:colOff>
          <xdr:row>6</xdr:row>
          <xdr:rowOff>114300</xdr:rowOff>
        </xdr:from>
        <xdr:to>
          <xdr:col>4</xdr:col>
          <xdr:colOff>2298700</xdr:colOff>
          <xdr:row>6</xdr:row>
          <xdr:rowOff>476250</xdr:rowOff>
        </xdr:to>
        <xdr:sp macro="" textlink="">
          <xdr:nvSpPr>
            <xdr:cNvPr id="3077" name="CBXPortdeDiploma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2190750</xdr:colOff>
          <xdr:row>6</xdr:row>
          <xdr:rowOff>114300</xdr:rowOff>
        </xdr:from>
        <xdr:to>
          <xdr:col>4</xdr:col>
          <xdr:colOff>3200400</xdr:colOff>
          <xdr:row>6</xdr:row>
          <xdr:rowOff>476250</xdr:rowOff>
        </xdr:to>
        <xdr:sp macro="" textlink="">
          <xdr:nvSpPr>
            <xdr:cNvPr id="3078" name="CBXDispdeDisciplin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1708150</xdr:colOff>
          <xdr:row>6</xdr:row>
          <xdr:rowOff>114300</xdr:rowOff>
        </xdr:from>
        <xdr:to>
          <xdr:col>2</xdr:col>
          <xdr:colOff>2717800</xdr:colOff>
          <xdr:row>6</xdr:row>
          <xdr:rowOff>476250</xdr:rowOff>
        </xdr:to>
        <xdr:sp macro="" textlink="">
          <xdr:nvSpPr>
            <xdr:cNvPr id="3079" name="CBXTransfdeCurso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114300</xdr:rowOff>
        </xdr:from>
        <xdr:to>
          <xdr:col>6</xdr:col>
          <xdr:colOff>450850</xdr:colOff>
          <xdr:row>6</xdr:row>
          <xdr:rowOff>476250</xdr:rowOff>
        </xdr:to>
        <xdr:sp macro="" textlink="">
          <xdr:nvSpPr>
            <xdr:cNvPr id="3080" name="CBXReanáliseDisp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161251</xdr:colOff>
      <xdr:row>3</xdr:row>
      <xdr:rowOff>11787</xdr:rowOff>
    </xdr:from>
    <xdr:to>
      <xdr:col>14</xdr:col>
      <xdr:colOff>434233</xdr:colOff>
      <xdr:row>6</xdr:row>
      <xdr:rowOff>26154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060195" y="576231"/>
          <a:ext cx="4047705" cy="938645"/>
          <a:chOff x="9105398" y="580021"/>
          <a:chExt cx="3919256" cy="930530"/>
        </a:xfrm>
        <a:solidFill>
          <a:srgbClr val="7030A0"/>
        </a:soli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1" name="TXTIES" hidden="1">
                <a:extLst>
                  <a:ext uri="{63B3BB69-23CF-44E3-9099-C40C66FF867C}">
                    <a14:compatExt spid="_x0000_s3081"/>
                  </a:ext>
                  <a:ext uri="{FF2B5EF4-FFF2-40B4-BE49-F238E27FC236}">
                    <a16:creationId xmlns:a16="http://schemas.microsoft.com/office/drawing/2014/main" id="{00000000-0008-0000-0000-0000090C0000}"/>
                  </a:ext>
                </a:extLst>
              </xdr:cNvPr>
              <xdr:cNvSpPr/>
            </xdr:nvSpPr>
            <xdr:spPr bwMode="auto">
              <a:xfrm>
                <a:off x="9964654" y="584784"/>
                <a:ext cx="30600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2" name="TXTCURSO" hidden="1">
                <a:extLst>
                  <a:ext uri="{63B3BB69-23CF-44E3-9099-C40C66FF867C}">
                    <a14:compatExt spid="_x0000_s3082"/>
                  </a:ext>
                  <a:ext uri="{FF2B5EF4-FFF2-40B4-BE49-F238E27FC236}">
                    <a16:creationId xmlns:a16="http://schemas.microsoft.com/office/drawing/2014/main" id="{00000000-0008-0000-0000-00000A0C0000}"/>
                  </a:ext>
                </a:extLst>
              </xdr:cNvPr>
              <xdr:cNvSpPr/>
            </xdr:nvSpPr>
            <xdr:spPr bwMode="auto">
              <a:xfrm>
                <a:off x="9955129" y="925302"/>
                <a:ext cx="3060000" cy="2356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3" name="TXTSEM" hidden="1">
                <a:extLst>
                  <a:ext uri="{63B3BB69-23CF-44E3-9099-C40C66FF867C}">
                    <a14:compatExt spid="_x0000_s3083"/>
                  </a:ext>
                  <a:ext uri="{FF2B5EF4-FFF2-40B4-BE49-F238E27FC236}">
                    <a16:creationId xmlns:a16="http://schemas.microsoft.com/office/drawing/2014/main" id="{00000000-0008-0000-0000-00000B0C0000}"/>
                  </a:ext>
                </a:extLst>
              </xdr:cNvPr>
              <xdr:cNvSpPr/>
            </xdr:nvSpPr>
            <xdr:spPr bwMode="auto">
              <a:xfrm>
                <a:off x="9955129" y="1263314"/>
                <a:ext cx="30600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9105398" y="580021"/>
            <a:ext cx="828000" cy="2520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IES:</a:t>
            </a: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9105398" y="921918"/>
            <a:ext cx="828000" cy="2520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CURSO:</a:t>
            </a: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9114923" y="1258551"/>
            <a:ext cx="828000" cy="2520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SEMESTRE:</a:t>
            </a:r>
          </a:p>
        </xdr:txBody>
      </xdr:sp>
    </xdr:grpSp>
    <xdr:clientData/>
  </xdr:twoCellAnchor>
  <xdr:twoCellAnchor editAs="absolute">
    <xdr:from>
      <xdr:col>11</xdr:col>
      <xdr:colOff>597122</xdr:colOff>
      <xdr:row>6</xdr:row>
      <xdr:rowOff>274610</xdr:rowOff>
    </xdr:from>
    <xdr:to>
      <xdr:col>12</xdr:col>
      <xdr:colOff>453517</xdr:colOff>
      <xdr:row>7</xdr:row>
      <xdr:rowOff>80872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2450455" y="1763332"/>
          <a:ext cx="463173" cy="462429"/>
          <a:chOff x="10744200" y="2085974"/>
          <a:chExt cx="752475" cy="714375"/>
        </a:xfrm>
      </xdr:grpSpPr>
      <xdr:sp macro="[0]!SalvarPdf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744200" y="2085974"/>
            <a:ext cx="752475" cy="714375"/>
          </a:xfrm>
          <a:prstGeom prst="roundRect">
            <a:avLst/>
          </a:prstGeom>
          <a:solidFill>
            <a:schemeClr val="bg1"/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Pdf"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6823" t="8139" r="16934" b="8139"/>
          <a:stretch/>
        </xdr:blipFill>
        <xdr:spPr>
          <a:xfrm>
            <a:off x="10912078" y="2181224"/>
            <a:ext cx="441722" cy="504825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597123</xdr:colOff>
      <xdr:row>6</xdr:row>
      <xdr:rowOff>274610</xdr:rowOff>
    </xdr:from>
    <xdr:to>
      <xdr:col>13</xdr:col>
      <xdr:colOff>453519</xdr:colOff>
      <xdr:row>7</xdr:row>
      <xdr:rowOff>80872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3057234" y="1763332"/>
          <a:ext cx="463174" cy="462429"/>
          <a:chOff x="12249150" y="1657349"/>
          <a:chExt cx="752475" cy="714375"/>
        </a:xfrm>
      </xdr:grpSpPr>
      <xdr:sp macro="[0]!Limparcampos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2249150" y="1657349"/>
            <a:ext cx="752475" cy="714375"/>
          </a:xfrm>
          <a:prstGeom prst="roundRect">
            <a:avLst/>
          </a:prstGeom>
          <a:solidFill>
            <a:schemeClr val="bg1"/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Limparcampos">
        <xdr:nvPicPr>
          <xdr:cNvPr id="12" name="Gráfico 11" descr="Borracha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334875" y="1733550"/>
            <a:ext cx="552450" cy="5524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6</xdr:row>
          <xdr:rowOff>114300</xdr:rowOff>
        </xdr:from>
        <xdr:to>
          <xdr:col>2</xdr:col>
          <xdr:colOff>742950</xdr:colOff>
          <xdr:row>6</xdr:row>
          <xdr:rowOff>476250</xdr:rowOff>
        </xdr:to>
        <xdr:sp macro="" textlink="">
          <xdr:nvSpPr>
            <xdr:cNvPr id="5121" name="CBXTransfExtern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6</xdr:row>
          <xdr:rowOff>114300</xdr:rowOff>
        </xdr:from>
        <xdr:to>
          <xdr:col>2</xdr:col>
          <xdr:colOff>1809750</xdr:colOff>
          <xdr:row>6</xdr:row>
          <xdr:rowOff>476250</xdr:rowOff>
        </xdr:to>
        <xdr:sp macro="" textlink="">
          <xdr:nvSpPr>
            <xdr:cNvPr id="5122" name="CBXTransfInterna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6</xdr:row>
          <xdr:rowOff>114300</xdr:rowOff>
        </xdr:from>
        <xdr:to>
          <xdr:col>4</xdr:col>
          <xdr:colOff>127000</xdr:colOff>
          <xdr:row>6</xdr:row>
          <xdr:rowOff>476250</xdr:rowOff>
        </xdr:to>
        <xdr:sp macro="" textlink="">
          <xdr:nvSpPr>
            <xdr:cNvPr id="5123" name="CBXReingressoReabertura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6</xdr:row>
          <xdr:rowOff>114300</xdr:rowOff>
        </xdr:from>
        <xdr:to>
          <xdr:col>4</xdr:col>
          <xdr:colOff>1174750</xdr:colOff>
          <xdr:row>6</xdr:row>
          <xdr:rowOff>476250</xdr:rowOff>
        </xdr:to>
        <xdr:sp macro="" textlink="">
          <xdr:nvSpPr>
            <xdr:cNvPr id="5124" name="CBXReanalisedeReingresso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1352550</xdr:colOff>
          <xdr:row>6</xdr:row>
          <xdr:rowOff>114300</xdr:rowOff>
        </xdr:from>
        <xdr:to>
          <xdr:col>4</xdr:col>
          <xdr:colOff>2298700</xdr:colOff>
          <xdr:row>6</xdr:row>
          <xdr:rowOff>476250</xdr:rowOff>
        </xdr:to>
        <xdr:sp macro="" textlink="">
          <xdr:nvSpPr>
            <xdr:cNvPr id="5125" name="CBXPortdeDiploma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2190750</xdr:colOff>
          <xdr:row>6</xdr:row>
          <xdr:rowOff>114300</xdr:rowOff>
        </xdr:from>
        <xdr:to>
          <xdr:col>4</xdr:col>
          <xdr:colOff>3200400</xdr:colOff>
          <xdr:row>6</xdr:row>
          <xdr:rowOff>476250</xdr:rowOff>
        </xdr:to>
        <xdr:sp macro="" textlink="">
          <xdr:nvSpPr>
            <xdr:cNvPr id="5126" name="CBXDispdeDisciplina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1708150</xdr:colOff>
          <xdr:row>6</xdr:row>
          <xdr:rowOff>114300</xdr:rowOff>
        </xdr:from>
        <xdr:to>
          <xdr:col>2</xdr:col>
          <xdr:colOff>2717800</xdr:colOff>
          <xdr:row>6</xdr:row>
          <xdr:rowOff>476250</xdr:rowOff>
        </xdr:to>
        <xdr:sp macro="" textlink="">
          <xdr:nvSpPr>
            <xdr:cNvPr id="5127" name="CBXTransfdeCurso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114300</xdr:rowOff>
        </xdr:from>
        <xdr:to>
          <xdr:col>6</xdr:col>
          <xdr:colOff>450850</xdr:colOff>
          <xdr:row>6</xdr:row>
          <xdr:rowOff>476250</xdr:rowOff>
        </xdr:to>
        <xdr:sp macro="" textlink="">
          <xdr:nvSpPr>
            <xdr:cNvPr id="5128" name="CBXReanáliseDisp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112742</xdr:colOff>
      <xdr:row>0</xdr:row>
      <xdr:rowOff>188495</xdr:rowOff>
    </xdr:from>
    <xdr:to>
      <xdr:col>13</xdr:col>
      <xdr:colOff>543729</xdr:colOff>
      <xdr:row>6</xdr:row>
      <xdr:rowOff>209399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474456" y="182145"/>
          <a:ext cx="4177487" cy="1478683"/>
          <a:chOff x="9039727" y="188495"/>
          <a:chExt cx="4088731" cy="1483393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039727" y="188495"/>
            <a:ext cx="4088731" cy="1483393"/>
          </a:xfrm>
          <a:prstGeom prst="roundRect">
            <a:avLst/>
          </a:prstGeom>
          <a:solidFill>
            <a:srgbClr val="5B9BD5"/>
          </a:solidFill>
          <a:ln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T w="139700" prst="cross"/>
          </a:sp3d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400" b="1" i="1" u="sng">
                <a:solidFill>
                  <a:schemeClr val="bg1"/>
                </a:solidFill>
              </a:rPr>
              <a:t>Campo</a:t>
            </a:r>
            <a:r>
              <a:rPr lang="pt-BR" sz="1400" b="1" i="1" u="sng" baseline="0">
                <a:solidFill>
                  <a:schemeClr val="bg1"/>
                </a:solidFill>
              </a:rPr>
              <a:t> de observação</a:t>
            </a:r>
            <a:endParaRPr lang="pt-BR" sz="1400" b="1" i="1" u="sng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9" name="TXTIES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100-000009140000}"/>
                  </a:ext>
                </a:extLst>
              </xdr:cNvPr>
              <xdr:cNvSpPr/>
            </xdr:nvSpPr>
            <xdr:spPr bwMode="auto">
              <a:xfrm>
                <a:off x="9964654" y="584784"/>
                <a:ext cx="30600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0" name="TXTCURSO" hidden="1">
                <a:extLst>
                  <a:ext uri="{63B3BB69-23CF-44E3-9099-C40C66FF867C}">
                    <a14:compatExt spid="_x0000_s5130"/>
                  </a:ext>
                  <a:ext uri="{FF2B5EF4-FFF2-40B4-BE49-F238E27FC236}">
                    <a16:creationId xmlns:a16="http://schemas.microsoft.com/office/drawing/2014/main" id="{00000000-0008-0000-0100-00000A140000}"/>
                  </a:ext>
                </a:extLst>
              </xdr:cNvPr>
              <xdr:cNvSpPr/>
            </xdr:nvSpPr>
            <xdr:spPr bwMode="auto">
              <a:xfrm>
                <a:off x="9955129" y="925302"/>
                <a:ext cx="3060000" cy="2356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1" name="TXTSEM" hidden="1">
                <a:extLst>
                  <a:ext uri="{63B3BB69-23CF-44E3-9099-C40C66FF867C}">
                    <a14:compatExt spid="_x0000_s5131"/>
                  </a:ext>
                  <a:ext uri="{FF2B5EF4-FFF2-40B4-BE49-F238E27FC236}">
                    <a16:creationId xmlns:a16="http://schemas.microsoft.com/office/drawing/2014/main" id="{00000000-0008-0000-0100-00000B140000}"/>
                  </a:ext>
                </a:extLst>
              </xdr:cNvPr>
              <xdr:cNvSpPr/>
            </xdr:nvSpPr>
            <xdr:spPr bwMode="auto">
              <a:xfrm>
                <a:off x="9955129" y="1263314"/>
                <a:ext cx="30600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9105398" y="580021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IES:</a:t>
            </a: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9105398" y="921918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CURSO:</a:t>
            </a: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9114923" y="1258551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SEMESTRE:</a:t>
            </a:r>
          </a:p>
        </xdr:txBody>
      </xdr:sp>
    </xdr:grpSp>
    <xdr:clientData/>
  </xdr:twoCellAnchor>
  <xdr:twoCellAnchor editAs="absolute">
    <xdr:from>
      <xdr:col>11</xdr:col>
      <xdr:colOff>491289</xdr:colOff>
      <xdr:row>6</xdr:row>
      <xdr:rowOff>295776</xdr:rowOff>
    </xdr:from>
    <xdr:to>
      <xdr:col>12</xdr:col>
      <xdr:colOff>347684</xdr:colOff>
      <xdr:row>7</xdr:row>
      <xdr:rowOff>102039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2383932" y="1747205"/>
          <a:ext cx="464181" cy="459405"/>
          <a:chOff x="10744200" y="2085974"/>
          <a:chExt cx="752475" cy="714375"/>
        </a:xfrm>
      </xdr:grpSpPr>
      <xdr:sp macro="[0]!SalvarPdf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0744200" y="2085974"/>
            <a:ext cx="752475" cy="714375"/>
          </a:xfrm>
          <a:prstGeom prst="roundRect">
            <a:avLst/>
          </a:prstGeom>
          <a:solidFill>
            <a:schemeClr val="bg1"/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Pdf"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6823" t="8139" r="16934" b="8139"/>
          <a:stretch/>
        </xdr:blipFill>
        <xdr:spPr>
          <a:xfrm>
            <a:off x="10912078" y="2181224"/>
            <a:ext cx="441722" cy="504825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491290</xdr:colOff>
      <xdr:row>6</xdr:row>
      <xdr:rowOff>295776</xdr:rowOff>
    </xdr:from>
    <xdr:to>
      <xdr:col>13</xdr:col>
      <xdr:colOff>347685</xdr:colOff>
      <xdr:row>7</xdr:row>
      <xdr:rowOff>102039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2991719" y="1747205"/>
          <a:ext cx="464180" cy="459405"/>
          <a:chOff x="12249150" y="1657349"/>
          <a:chExt cx="752475" cy="714375"/>
        </a:xfrm>
      </xdr:grpSpPr>
      <xdr:sp macro="[0]!Limparcampos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2249150" y="1657349"/>
            <a:ext cx="752475" cy="714375"/>
          </a:xfrm>
          <a:prstGeom prst="roundRect">
            <a:avLst/>
          </a:prstGeom>
          <a:solidFill>
            <a:schemeClr val="bg1"/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Limparcampos">
        <xdr:nvPicPr>
          <xdr:cNvPr id="12" name="Gráfico 11" descr="Borracha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334875" y="1733550"/>
            <a:ext cx="552450" cy="5524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</xdr:row>
          <xdr:rowOff>114300</xdr:rowOff>
        </xdr:from>
        <xdr:to>
          <xdr:col>2</xdr:col>
          <xdr:colOff>742950</xdr:colOff>
          <xdr:row>5</xdr:row>
          <xdr:rowOff>476250</xdr:rowOff>
        </xdr:to>
        <xdr:sp macro="" textlink="">
          <xdr:nvSpPr>
            <xdr:cNvPr id="6145" name="CBXTransfExterna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5</xdr:row>
          <xdr:rowOff>114300</xdr:rowOff>
        </xdr:from>
        <xdr:to>
          <xdr:col>2</xdr:col>
          <xdr:colOff>1809750</xdr:colOff>
          <xdr:row>5</xdr:row>
          <xdr:rowOff>476250</xdr:rowOff>
        </xdr:to>
        <xdr:sp macro="" textlink="">
          <xdr:nvSpPr>
            <xdr:cNvPr id="6146" name="CBXTransfInterna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5</xdr:row>
          <xdr:rowOff>114300</xdr:rowOff>
        </xdr:from>
        <xdr:to>
          <xdr:col>4</xdr:col>
          <xdr:colOff>127000</xdr:colOff>
          <xdr:row>5</xdr:row>
          <xdr:rowOff>476250</xdr:rowOff>
        </xdr:to>
        <xdr:sp macro="" textlink="">
          <xdr:nvSpPr>
            <xdr:cNvPr id="6147" name="CBXReingressoReabertura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5</xdr:row>
          <xdr:rowOff>114300</xdr:rowOff>
        </xdr:from>
        <xdr:to>
          <xdr:col>4</xdr:col>
          <xdr:colOff>1174750</xdr:colOff>
          <xdr:row>5</xdr:row>
          <xdr:rowOff>476250</xdr:rowOff>
        </xdr:to>
        <xdr:sp macro="" textlink="">
          <xdr:nvSpPr>
            <xdr:cNvPr id="6148" name="CBXReanalisedeReingresso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1352550</xdr:colOff>
          <xdr:row>5</xdr:row>
          <xdr:rowOff>114300</xdr:rowOff>
        </xdr:from>
        <xdr:to>
          <xdr:col>4</xdr:col>
          <xdr:colOff>2298700</xdr:colOff>
          <xdr:row>5</xdr:row>
          <xdr:rowOff>476250</xdr:rowOff>
        </xdr:to>
        <xdr:sp macro="" textlink="">
          <xdr:nvSpPr>
            <xdr:cNvPr id="6149" name="CBXPortdeDiploma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2190750</xdr:colOff>
          <xdr:row>5</xdr:row>
          <xdr:rowOff>114300</xdr:rowOff>
        </xdr:from>
        <xdr:to>
          <xdr:col>4</xdr:col>
          <xdr:colOff>3200400</xdr:colOff>
          <xdr:row>5</xdr:row>
          <xdr:rowOff>476250</xdr:rowOff>
        </xdr:to>
        <xdr:sp macro="" textlink="">
          <xdr:nvSpPr>
            <xdr:cNvPr id="6150" name="CBXDispdeDisciplina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1708150</xdr:colOff>
          <xdr:row>5</xdr:row>
          <xdr:rowOff>114300</xdr:rowOff>
        </xdr:from>
        <xdr:to>
          <xdr:col>2</xdr:col>
          <xdr:colOff>2717800</xdr:colOff>
          <xdr:row>5</xdr:row>
          <xdr:rowOff>476250</xdr:rowOff>
        </xdr:to>
        <xdr:sp macro="" textlink="">
          <xdr:nvSpPr>
            <xdr:cNvPr id="6151" name="CBXTransfdeCurso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114300</xdr:rowOff>
        </xdr:from>
        <xdr:to>
          <xdr:col>6</xdr:col>
          <xdr:colOff>450850</xdr:colOff>
          <xdr:row>5</xdr:row>
          <xdr:rowOff>476250</xdr:rowOff>
        </xdr:to>
        <xdr:sp macro="" textlink="">
          <xdr:nvSpPr>
            <xdr:cNvPr id="6152" name="CBXReanáliseDisp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90241</xdr:colOff>
      <xdr:row>0</xdr:row>
      <xdr:rowOff>188495</xdr:rowOff>
    </xdr:from>
    <xdr:to>
      <xdr:col>13</xdr:col>
      <xdr:colOff>527382</xdr:colOff>
      <xdr:row>5</xdr:row>
      <xdr:rowOff>358436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454820" y="182145"/>
          <a:ext cx="4186983" cy="1459659"/>
          <a:chOff x="9039727" y="188495"/>
          <a:chExt cx="4088731" cy="1483393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039727" y="188495"/>
            <a:ext cx="4088731" cy="1483393"/>
          </a:xfrm>
          <a:prstGeom prst="roundRect">
            <a:avLst/>
          </a:prstGeom>
          <a:solidFill>
            <a:srgbClr val="5B9BD5"/>
          </a:solidFill>
          <a:ln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T w="139700" prst="cross"/>
          </a:sp3d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400" b="1" i="1" u="sng">
                <a:solidFill>
                  <a:schemeClr val="bg1"/>
                </a:solidFill>
              </a:rPr>
              <a:t>Campo</a:t>
            </a:r>
            <a:r>
              <a:rPr lang="pt-BR" sz="1400" b="1" i="1" u="sng" baseline="0">
                <a:solidFill>
                  <a:schemeClr val="bg1"/>
                </a:solidFill>
              </a:rPr>
              <a:t> de observação</a:t>
            </a:r>
            <a:endParaRPr lang="pt-BR" sz="1400" b="1" i="1" u="sng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3" name="TXTIES" hidden="1">
                <a:extLst>
                  <a:ext uri="{63B3BB69-23CF-44E3-9099-C40C66FF867C}">
                    <a14:compatExt spid="_x0000_s6153"/>
                  </a:ext>
                  <a:ext uri="{FF2B5EF4-FFF2-40B4-BE49-F238E27FC236}">
                    <a16:creationId xmlns:a16="http://schemas.microsoft.com/office/drawing/2014/main" id="{00000000-0008-0000-0200-000009180000}"/>
                  </a:ext>
                </a:extLst>
              </xdr:cNvPr>
              <xdr:cNvSpPr/>
            </xdr:nvSpPr>
            <xdr:spPr bwMode="auto">
              <a:xfrm>
                <a:off x="9964654" y="584784"/>
                <a:ext cx="30600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4" name="TXTCURSO" hidden="1">
                <a:extLst>
                  <a:ext uri="{63B3BB69-23CF-44E3-9099-C40C66FF867C}">
                    <a14:compatExt spid="_x0000_s6154"/>
                  </a:ext>
                  <a:ext uri="{FF2B5EF4-FFF2-40B4-BE49-F238E27FC236}">
                    <a16:creationId xmlns:a16="http://schemas.microsoft.com/office/drawing/2014/main" id="{00000000-0008-0000-0200-00000A180000}"/>
                  </a:ext>
                </a:extLst>
              </xdr:cNvPr>
              <xdr:cNvSpPr/>
            </xdr:nvSpPr>
            <xdr:spPr bwMode="auto">
              <a:xfrm>
                <a:off x="9955129" y="925302"/>
                <a:ext cx="3060000" cy="2356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5" name="TXTSEM" hidden="1">
                <a:extLst>
                  <a:ext uri="{63B3BB69-23CF-44E3-9099-C40C66FF867C}">
                    <a14:compatExt spid="_x0000_s6155"/>
                  </a:ext>
                  <a:ext uri="{FF2B5EF4-FFF2-40B4-BE49-F238E27FC236}">
                    <a16:creationId xmlns:a16="http://schemas.microsoft.com/office/drawing/2014/main" id="{00000000-0008-0000-0200-00000B180000}"/>
                  </a:ext>
                </a:extLst>
              </xdr:cNvPr>
              <xdr:cNvSpPr/>
            </xdr:nvSpPr>
            <xdr:spPr bwMode="auto">
              <a:xfrm>
                <a:off x="9955129" y="1263314"/>
                <a:ext cx="30600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9105398" y="580021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IES:</a:t>
            </a: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105398" y="921918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CURSO:</a:t>
            </a: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9114923" y="1258551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SEMESTRE:</a:t>
            </a:r>
          </a:p>
        </xdr:txBody>
      </xdr:sp>
    </xdr:grpSp>
    <xdr:clientData/>
  </xdr:twoCellAnchor>
  <xdr:twoCellAnchor editAs="absolute">
    <xdr:from>
      <xdr:col>11</xdr:col>
      <xdr:colOff>491289</xdr:colOff>
      <xdr:row>5</xdr:row>
      <xdr:rowOff>486276</xdr:rowOff>
    </xdr:from>
    <xdr:to>
      <xdr:col>12</xdr:col>
      <xdr:colOff>347684</xdr:colOff>
      <xdr:row>7</xdr:row>
      <xdr:rowOff>102039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2389184" y="1769644"/>
          <a:ext cx="464658" cy="464658"/>
          <a:chOff x="10744200" y="2085974"/>
          <a:chExt cx="752475" cy="714375"/>
        </a:xfrm>
      </xdr:grpSpPr>
      <xdr:sp macro="[0]!SalvarPdf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10744200" y="2085974"/>
            <a:ext cx="752475" cy="714375"/>
          </a:xfrm>
          <a:prstGeom prst="roundRect">
            <a:avLst/>
          </a:prstGeom>
          <a:solidFill>
            <a:schemeClr val="bg1"/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Pdf"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6823" t="8139" r="16934" b="8139"/>
          <a:stretch/>
        </xdr:blipFill>
        <xdr:spPr>
          <a:xfrm>
            <a:off x="10912078" y="2181224"/>
            <a:ext cx="441722" cy="504825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491290</xdr:colOff>
      <xdr:row>5</xdr:row>
      <xdr:rowOff>486276</xdr:rowOff>
    </xdr:from>
    <xdr:to>
      <xdr:col>13</xdr:col>
      <xdr:colOff>347685</xdr:colOff>
      <xdr:row>7</xdr:row>
      <xdr:rowOff>102039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2997448" y="1769644"/>
          <a:ext cx="464658" cy="464658"/>
          <a:chOff x="12249150" y="1657349"/>
          <a:chExt cx="752475" cy="714375"/>
        </a:xfrm>
      </xdr:grpSpPr>
      <xdr:sp macro="[0]!Limparcampos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12249150" y="1657349"/>
            <a:ext cx="752475" cy="714375"/>
          </a:xfrm>
          <a:prstGeom prst="roundRect">
            <a:avLst/>
          </a:prstGeom>
          <a:solidFill>
            <a:schemeClr val="bg1"/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Limparcampos">
        <xdr:nvPicPr>
          <xdr:cNvPr id="12" name="Gráfico 11" descr="Borracha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334875" y="1733550"/>
            <a:ext cx="552450" cy="5524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</xdr:row>
          <xdr:rowOff>114300</xdr:rowOff>
        </xdr:from>
        <xdr:to>
          <xdr:col>2</xdr:col>
          <xdr:colOff>742950</xdr:colOff>
          <xdr:row>5</xdr:row>
          <xdr:rowOff>476250</xdr:rowOff>
        </xdr:to>
        <xdr:sp macro="" textlink="">
          <xdr:nvSpPr>
            <xdr:cNvPr id="7169" name="CBXTransfExterna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5</xdr:row>
          <xdr:rowOff>114300</xdr:rowOff>
        </xdr:from>
        <xdr:to>
          <xdr:col>2</xdr:col>
          <xdr:colOff>1809750</xdr:colOff>
          <xdr:row>5</xdr:row>
          <xdr:rowOff>476250</xdr:rowOff>
        </xdr:to>
        <xdr:sp macro="" textlink="">
          <xdr:nvSpPr>
            <xdr:cNvPr id="7170" name="CBXTransfInterna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5</xdr:row>
          <xdr:rowOff>114300</xdr:rowOff>
        </xdr:from>
        <xdr:to>
          <xdr:col>4</xdr:col>
          <xdr:colOff>127000</xdr:colOff>
          <xdr:row>5</xdr:row>
          <xdr:rowOff>476250</xdr:rowOff>
        </xdr:to>
        <xdr:sp macro="" textlink="">
          <xdr:nvSpPr>
            <xdr:cNvPr id="7171" name="CBXReingressoReabertura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5</xdr:row>
          <xdr:rowOff>114300</xdr:rowOff>
        </xdr:from>
        <xdr:to>
          <xdr:col>4</xdr:col>
          <xdr:colOff>1174750</xdr:colOff>
          <xdr:row>5</xdr:row>
          <xdr:rowOff>476250</xdr:rowOff>
        </xdr:to>
        <xdr:sp macro="" textlink="">
          <xdr:nvSpPr>
            <xdr:cNvPr id="7172" name="CBXReanalisedeReingresso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1352550</xdr:colOff>
          <xdr:row>5</xdr:row>
          <xdr:rowOff>114300</xdr:rowOff>
        </xdr:from>
        <xdr:to>
          <xdr:col>4</xdr:col>
          <xdr:colOff>2298700</xdr:colOff>
          <xdr:row>5</xdr:row>
          <xdr:rowOff>476250</xdr:rowOff>
        </xdr:to>
        <xdr:sp macro="" textlink="">
          <xdr:nvSpPr>
            <xdr:cNvPr id="7173" name="CBXPortdeDiploma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2190750</xdr:colOff>
          <xdr:row>5</xdr:row>
          <xdr:rowOff>114300</xdr:rowOff>
        </xdr:from>
        <xdr:to>
          <xdr:col>4</xdr:col>
          <xdr:colOff>3200400</xdr:colOff>
          <xdr:row>5</xdr:row>
          <xdr:rowOff>476250</xdr:rowOff>
        </xdr:to>
        <xdr:sp macro="" textlink="">
          <xdr:nvSpPr>
            <xdr:cNvPr id="7174" name="CBXDispdeDisciplina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1708150</xdr:colOff>
          <xdr:row>5</xdr:row>
          <xdr:rowOff>114300</xdr:rowOff>
        </xdr:from>
        <xdr:to>
          <xdr:col>2</xdr:col>
          <xdr:colOff>2717800</xdr:colOff>
          <xdr:row>5</xdr:row>
          <xdr:rowOff>476250</xdr:rowOff>
        </xdr:to>
        <xdr:sp macro="" textlink="">
          <xdr:nvSpPr>
            <xdr:cNvPr id="7175" name="CBXTransfdeCurso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114300</xdr:rowOff>
        </xdr:from>
        <xdr:to>
          <xdr:col>6</xdr:col>
          <xdr:colOff>450850</xdr:colOff>
          <xdr:row>5</xdr:row>
          <xdr:rowOff>476250</xdr:rowOff>
        </xdr:to>
        <xdr:sp macro="" textlink="">
          <xdr:nvSpPr>
            <xdr:cNvPr id="7176" name="CBXReanáliseDisp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90241</xdr:colOff>
      <xdr:row>0</xdr:row>
      <xdr:rowOff>188495</xdr:rowOff>
    </xdr:from>
    <xdr:to>
      <xdr:col>13</xdr:col>
      <xdr:colOff>527382</xdr:colOff>
      <xdr:row>5</xdr:row>
      <xdr:rowOff>358436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454820" y="182145"/>
          <a:ext cx="4186983" cy="1459659"/>
          <a:chOff x="9039727" y="188495"/>
          <a:chExt cx="4088731" cy="1483393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9039727" y="188495"/>
            <a:ext cx="4088731" cy="1483393"/>
          </a:xfrm>
          <a:prstGeom prst="roundRect">
            <a:avLst/>
          </a:prstGeom>
          <a:solidFill>
            <a:srgbClr val="5B9BD5"/>
          </a:solidFill>
          <a:ln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T w="139700" prst="cross"/>
          </a:sp3d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400" b="1" i="1" u="sng">
                <a:solidFill>
                  <a:schemeClr val="bg1"/>
                </a:solidFill>
              </a:rPr>
              <a:t>Campo</a:t>
            </a:r>
            <a:r>
              <a:rPr lang="pt-BR" sz="1400" b="1" i="1" u="sng" baseline="0">
                <a:solidFill>
                  <a:schemeClr val="bg1"/>
                </a:solidFill>
              </a:rPr>
              <a:t> de observação</a:t>
            </a:r>
            <a:endParaRPr lang="pt-BR" sz="1400" b="1" i="1" u="sng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7" name="TXTIES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300-0000091C0000}"/>
                  </a:ext>
                </a:extLst>
              </xdr:cNvPr>
              <xdr:cNvSpPr/>
            </xdr:nvSpPr>
            <xdr:spPr bwMode="auto">
              <a:xfrm>
                <a:off x="9964654" y="584784"/>
                <a:ext cx="30600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8" name="TXTCURSO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300-00000A1C0000}"/>
                  </a:ext>
                </a:extLst>
              </xdr:cNvPr>
              <xdr:cNvSpPr/>
            </xdr:nvSpPr>
            <xdr:spPr bwMode="auto">
              <a:xfrm>
                <a:off x="9955129" y="925302"/>
                <a:ext cx="3060000" cy="2356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9" name="TXTSEM" hidden="1">
                <a:extLst>
                  <a:ext uri="{63B3BB69-23CF-44E3-9099-C40C66FF867C}">
                    <a14:compatExt spid="_x0000_s7179"/>
                  </a:ext>
                  <a:ext uri="{FF2B5EF4-FFF2-40B4-BE49-F238E27FC236}">
                    <a16:creationId xmlns:a16="http://schemas.microsoft.com/office/drawing/2014/main" id="{00000000-0008-0000-0300-00000B1C0000}"/>
                  </a:ext>
                </a:extLst>
              </xdr:cNvPr>
              <xdr:cNvSpPr/>
            </xdr:nvSpPr>
            <xdr:spPr bwMode="auto">
              <a:xfrm>
                <a:off x="9955129" y="1263314"/>
                <a:ext cx="30600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9105398" y="580021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IES:</a:t>
            </a: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9105398" y="921918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CURSO:</a:t>
            </a: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 txBox="1"/>
        </xdr:nvSpPr>
        <xdr:spPr>
          <a:xfrm>
            <a:off x="9114923" y="1258551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SEMESTRE:</a:t>
            </a:r>
          </a:p>
        </xdr:txBody>
      </xdr:sp>
    </xdr:grpSp>
    <xdr:clientData/>
  </xdr:twoCellAnchor>
  <xdr:twoCellAnchor editAs="absolute">
    <xdr:from>
      <xdr:col>11</xdr:col>
      <xdr:colOff>491289</xdr:colOff>
      <xdr:row>5</xdr:row>
      <xdr:rowOff>486276</xdr:rowOff>
    </xdr:from>
    <xdr:to>
      <xdr:col>12</xdr:col>
      <xdr:colOff>347684</xdr:colOff>
      <xdr:row>7</xdr:row>
      <xdr:rowOff>102039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12389184" y="1769644"/>
          <a:ext cx="464658" cy="464658"/>
          <a:chOff x="10744200" y="2085974"/>
          <a:chExt cx="752475" cy="714375"/>
        </a:xfrm>
      </xdr:grpSpPr>
      <xdr:sp macro="[0]!SalvarPdf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0744200" y="2085974"/>
            <a:ext cx="752475" cy="714375"/>
          </a:xfrm>
          <a:prstGeom prst="roundRect">
            <a:avLst/>
          </a:prstGeom>
          <a:solidFill>
            <a:schemeClr val="bg1"/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Pdf"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6823" t="8139" r="16934" b="8139"/>
          <a:stretch/>
        </xdr:blipFill>
        <xdr:spPr>
          <a:xfrm>
            <a:off x="10912078" y="2181224"/>
            <a:ext cx="441722" cy="504825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491290</xdr:colOff>
      <xdr:row>5</xdr:row>
      <xdr:rowOff>486276</xdr:rowOff>
    </xdr:from>
    <xdr:to>
      <xdr:col>13</xdr:col>
      <xdr:colOff>347685</xdr:colOff>
      <xdr:row>7</xdr:row>
      <xdr:rowOff>102039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12997448" y="1769644"/>
          <a:ext cx="464658" cy="464658"/>
          <a:chOff x="12249150" y="1657349"/>
          <a:chExt cx="752475" cy="714375"/>
        </a:xfrm>
      </xdr:grpSpPr>
      <xdr:sp macro="[0]!Limparcampos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2249150" y="1657349"/>
            <a:ext cx="752475" cy="714375"/>
          </a:xfrm>
          <a:prstGeom prst="roundRect">
            <a:avLst/>
          </a:prstGeom>
          <a:solidFill>
            <a:schemeClr val="bg1"/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Limparcampos">
        <xdr:nvPicPr>
          <xdr:cNvPr id="12" name="Gráfico 11" descr="Borracha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334875" y="1733550"/>
            <a:ext cx="552450" cy="5524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</xdr:row>
          <xdr:rowOff>114300</xdr:rowOff>
        </xdr:from>
        <xdr:to>
          <xdr:col>2</xdr:col>
          <xdr:colOff>742950</xdr:colOff>
          <xdr:row>5</xdr:row>
          <xdr:rowOff>476250</xdr:rowOff>
        </xdr:to>
        <xdr:sp macro="" textlink="">
          <xdr:nvSpPr>
            <xdr:cNvPr id="8193" name="CBXTransfExterna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5</xdr:row>
          <xdr:rowOff>114300</xdr:rowOff>
        </xdr:from>
        <xdr:to>
          <xdr:col>2</xdr:col>
          <xdr:colOff>1809750</xdr:colOff>
          <xdr:row>5</xdr:row>
          <xdr:rowOff>476250</xdr:rowOff>
        </xdr:to>
        <xdr:sp macro="" textlink="">
          <xdr:nvSpPr>
            <xdr:cNvPr id="8194" name="CBXTransfInterna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5</xdr:row>
          <xdr:rowOff>114300</xdr:rowOff>
        </xdr:from>
        <xdr:to>
          <xdr:col>4</xdr:col>
          <xdr:colOff>127000</xdr:colOff>
          <xdr:row>5</xdr:row>
          <xdr:rowOff>476250</xdr:rowOff>
        </xdr:to>
        <xdr:sp macro="" textlink="">
          <xdr:nvSpPr>
            <xdr:cNvPr id="8195" name="CBXReingressoReabertura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5</xdr:row>
          <xdr:rowOff>114300</xdr:rowOff>
        </xdr:from>
        <xdr:to>
          <xdr:col>4</xdr:col>
          <xdr:colOff>1174750</xdr:colOff>
          <xdr:row>5</xdr:row>
          <xdr:rowOff>476250</xdr:rowOff>
        </xdr:to>
        <xdr:sp macro="" textlink="">
          <xdr:nvSpPr>
            <xdr:cNvPr id="8196" name="CBXReanalisedeReingresso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1352550</xdr:colOff>
          <xdr:row>5</xdr:row>
          <xdr:rowOff>114300</xdr:rowOff>
        </xdr:from>
        <xdr:to>
          <xdr:col>4</xdr:col>
          <xdr:colOff>2298700</xdr:colOff>
          <xdr:row>5</xdr:row>
          <xdr:rowOff>476250</xdr:rowOff>
        </xdr:to>
        <xdr:sp macro="" textlink="">
          <xdr:nvSpPr>
            <xdr:cNvPr id="8197" name="CBXPortdeDiploma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2190750</xdr:colOff>
          <xdr:row>5</xdr:row>
          <xdr:rowOff>114300</xdr:rowOff>
        </xdr:from>
        <xdr:to>
          <xdr:col>4</xdr:col>
          <xdr:colOff>3200400</xdr:colOff>
          <xdr:row>5</xdr:row>
          <xdr:rowOff>476250</xdr:rowOff>
        </xdr:to>
        <xdr:sp macro="" textlink="">
          <xdr:nvSpPr>
            <xdr:cNvPr id="8198" name="CBXDispdeDisciplina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1708150</xdr:colOff>
          <xdr:row>5</xdr:row>
          <xdr:rowOff>114300</xdr:rowOff>
        </xdr:from>
        <xdr:to>
          <xdr:col>2</xdr:col>
          <xdr:colOff>2717800</xdr:colOff>
          <xdr:row>5</xdr:row>
          <xdr:rowOff>476250</xdr:rowOff>
        </xdr:to>
        <xdr:sp macro="" textlink="">
          <xdr:nvSpPr>
            <xdr:cNvPr id="8199" name="CBXTransfdeCurso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114300</xdr:rowOff>
        </xdr:from>
        <xdr:to>
          <xdr:col>6</xdr:col>
          <xdr:colOff>450850</xdr:colOff>
          <xdr:row>5</xdr:row>
          <xdr:rowOff>476250</xdr:rowOff>
        </xdr:to>
        <xdr:sp macro="" textlink="">
          <xdr:nvSpPr>
            <xdr:cNvPr id="8200" name="CBXReanáliseDisp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90241</xdr:colOff>
      <xdr:row>0</xdr:row>
      <xdr:rowOff>188495</xdr:rowOff>
    </xdr:from>
    <xdr:to>
      <xdr:col>13</xdr:col>
      <xdr:colOff>527382</xdr:colOff>
      <xdr:row>5</xdr:row>
      <xdr:rowOff>358436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9454820" y="182145"/>
          <a:ext cx="4186983" cy="1459659"/>
          <a:chOff x="9039727" y="188495"/>
          <a:chExt cx="4088731" cy="1483393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9039727" y="188495"/>
            <a:ext cx="4088731" cy="1483393"/>
          </a:xfrm>
          <a:prstGeom prst="roundRect">
            <a:avLst/>
          </a:prstGeom>
          <a:solidFill>
            <a:srgbClr val="5B9BD5"/>
          </a:solidFill>
          <a:ln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T w="139700" prst="cross"/>
          </a:sp3d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400" b="1" i="1" u="sng">
                <a:solidFill>
                  <a:schemeClr val="bg1"/>
                </a:solidFill>
              </a:rPr>
              <a:t>Campo</a:t>
            </a:r>
            <a:r>
              <a:rPr lang="pt-BR" sz="1400" b="1" i="1" u="sng" baseline="0">
                <a:solidFill>
                  <a:schemeClr val="bg1"/>
                </a:solidFill>
              </a:rPr>
              <a:t> de observação</a:t>
            </a:r>
            <a:endParaRPr lang="pt-BR" sz="1400" b="1" i="1" u="sng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1" name="TXTIES" hidden="1">
                <a:extLst>
                  <a:ext uri="{63B3BB69-23CF-44E3-9099-C40C66FF867C}">
                    <a14:compatExt spid="_x0000_s8201"/>
                  </a:ext>
                  <a:ext uri="{FF2B5EF4-FFF2-40B4-BE49-F238E27FC236}">
                    <a16:creationId xmlns:a16="http://schemas.microsoft.com/office/drawing/2014/main" id="{00000000-0008-0000-0400-000009200000}"/>
                  </a:ext>
                </a:extLst>
              </xdr:cNvPr>
              <xdr:cNvSpPr/>
            </xdr:nvSpPr>
            <xdr:spPr bwMode="auto">
              <a:xfrm>
                <a:off x="9964654" y="584784"/>
                <a:ext cx="30600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2" name="TXTCURSO" hidden="1">
                <a:extLst>
                  <a:ext uri="{63B3BB69-23CF-44E3-9099-C40C66FF867C}">
                    <a14:compatExt spid="_x0000_s8202"/>
                  </a:ext>
                  <a:ext uri="{FF2B5EF4-FFF2-40B4-BE49-F238E27FC236}">
                    <a16:creationId xmlns:a16="http://schemas.microsoft.com/office/drawing/2014/main" id="{00000000-0008-0000-0400-00000A200000}"/>
                  </a:ext>
                </a:extLst>
              </xdr:cNvPr>
              <xdr:cNvSpPr/>
            </xdr:nvSpPr>
            <xdr:spPr bwMode="auto">
              <a:xfrm>
                <a:off x="9955129" y="925302"/>
                <a:ext cx="3060000" cy="2356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3" name="TXTSEM" hidden="1">
                <a:extLst>
                  <a:ext uri="{63B3BB69-23CF-44E3-9099-C40C66FF867C}">
                    <a14:compatExt spid="_x0000_s8203"/>
                  </a:ext>
                  <a:ext uri="{FF2B5EF4-FFF2-40B4-BE49-F238E27FC236}">
                    <a16:creationId xmlns:a16="http://schemas.microsoft.com/office/drawing/2014/main" id="{00000000-0008-0000-0400-00000B200000}"/>
                  </a:ext>
                </a:extLst>
              </xdr:cNvPr>
              <xdr:cNvSpPr/>
            </xdr:nvSpPr>
            <xdr:spPr bwMode="auto">
              <a:xfrm>
                <a:off x="9955129" y="1263314"/>
                <a:ext cx="30600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9105398" y="580021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IES:</a:t>
            </a: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/>
        </xdr:nvSpPr>
        <xdr:spPr>
          <a:xfrm>
            <a:off x="9105398" y="921918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CURSO:</a:t>
            </a: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9114923" y="1258551"/>
            <a:ext cx="828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SEMESTRE:</a:t>
            </a:r>
          </a:p>
        </xdr:txBody>
      </xdr:sp>
    </xdr:grpSp>
    <xdr:clientData/>
  </xdr:twoCellAnchor>
  <xdr:twoCellAnchor editAs="absolute">
    <xdr:from>
      <xdr:col>11</xdr:col>
      <xdr:colOff>491289</xdr:colOff>
      <xdr:row>5</xdr:row>
      <xdr:rowOff>486276</xdr:rowOff>
    </xdr:from>
    <xdr:to>
      <xdr:col>12</xdr:col>
      <xdr:colOff>347684</xdr:colOff>
      <xdr:row>7</xdr:row>
      <xdr:rowOff>102039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12389184" y="1769644"/>
          <a:ext cx="464658" cy="464658"/>
          <a:chOff x="10744200" y="2085974"/>
          <a:chExt cx="752475" cy="714375"/>
        </a:xfrm>
      </xdr:grpSpPr>
      <xdr:sp macro="[0]!SalvarPdf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10744200" y="2085974"/>
            <a:ext cx="752475" cy="714375"/>
          </a:xfrm>
          <a:prstGeom prst="roundRect">
            <a:avLst/>
          </a:prstGeom>
          <a:solidFill>
            <a:schemeClr val="bg1"/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Pdf"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6823" t="8139" r="16934" b="8139"/>
          <a:stretch/>
        </xdr:blipFill>
        <xdr:spPr>
          <a:xfrm>
            <a:off x="10912078" y="2181224"/>
            <a:ext cx="441722" cy="504825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491290</xdr:colOff>
      <xdr:row>5</xdr:row>
      <xdr:rowOff>486276</xdr:rowOff>
    </xdr:from>
    <xdr:to>
      <xdr:col>13</xdr:col>
      <xdr:colOff>347685</xdr:colOff>
      <xdr:row>7</xdr:row>
      <xdr:rowOff>102039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12997448" y="1769644"/>
          <a:ext cx="464658" cy="464658"/>
          <a:chOff x="12249150" y="1657349"/>
          <a:chExt cx="752475" cy="714375"/>
        </a:xfrm>
      </xdr:grpSpPr>
      <xdr:sp macro="[0]!Limparcampos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12249150" y="1657349"/>
            <a:ext cx="752475" cy="714375"/>
          </a:xfrm>
          <a:prstGeom prst="roundRect">
            <a:avLst/>
          </a:prstGeom>
          <a:solidFill>
            <a:schemeClr val="bg1"/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Limparcampos">
        <xdr:nvPicPr>
          <xdr:cNvPr id="12" name="Gráfico 11" descr="Borracha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334875" y="1733550"/>
            <a:ext cx="552450" cy="55245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control" Target="../activeX/activeX17.xml"/><Relationship Id="rId18" Type="http://schemas.openxmlformats.org/officeDocument/2006/relationships/image" Target="../media/image20.emf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15.emf"/><Relationship Id="rId12" Type="http://schemas.openxmlformats.org/officeDocument/2006/relationships/image" Target="../media/image17.emf"/><Relationship Id="rId17" Type="http://schemas.openxmlformats.org/officeDocument/2006/relationships/control" Target="../activeX/activeX19.xml"/><Relationship Id="rId2" Type="http://schemas.openxmlformats.org/officeDocument/2006/relationships/drawing" Target="../drawings/drawing2.xml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control" Target="../activeX/activeX16.xml"/><Relationship Id="rId24" Type="http://schemas.openxmlformats.org/officeDocument/2006/relationships/image" Target="../media/image23.emf"/><Relationship Id="rId5" Type="http://schemas.openxmlformats.org/officeDocument/2006/relationships/image" Target="../media/image14.emf"/><Relationship Id="rId15" Type="http://schemas.openxmlformats.org/officeDocument/2006/relationships/control" Target="../activeX/activeX18.xml"/><Relationship Id="rId23" Type="http://schemas.openxmlformats.org/officeDocument/2006/relationships/control" Target="../activeX/activeX22.xml"/><Relationship Id="rId10" Type="http://schemas.openxmlformats.org/officeDocument/2006/relationships/image" Target="../media/image16.emf"/><Relationship Id="rId19" Type="http://schemas.openxmlformats.org/officeDocument/2006/relationships/control" Target="../activeX/activeX20.xml"/><Relationship Id="rId4" Type="http://schemas.openxmlformats.org/officeDocument/2006/relationships/control" Target="../activeX/activeX12.xml"/><Relationship Id="rId9" Type="http://schemas.openxmlformats.org/officeDocument/2006/relationships/control" Target="../activeX/activeX15.xml"/><Relationship Id="rId14" Type="http://schemas.openxmlformats.org/officeDocument/2006/relationships/image" Target="../media/image18.emf"/><Relationship Id="rId22" Type="http://schemas.openxmlformats.org/officeDocument/2006/relationships/image" Target="../media/image2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6.emf"/><Relationship Id="rId18" Type="http://schemas.openxmlformats.org/officeDocument/2006/relationships/control" Target="../activeX/activeX31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0.emf"/><Relationship Id="rId7" Type="http://schemas.openxmlformats.org/officeDocument/2006/relationships/control" Target="../activeX/activeX25.xml"/><Relationship Id="rId12" Type="http://schemas.openxmlformats.org/officeDocument/2006/relationships/control" Target="../activeX/activeX28.xml"/><Relationship Id="rId17" Type="http://schemas.openxmlformats.org/officeDocument/2006/relationships/image" Target="../media/image2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4.xml"/><Relationship Id="rId11" Type="http://schemas.openxmlformats.org/officeDocument/2006/relationships/image" Target="../media/image25.emf"/><Relationship Id="rId5" Type="http://schemas.openxmlformats.org/officeDocument/2006/relationships/image" Target="../media/image15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10" Type="http://schemas.openxmlformats.org/officeDocument/2006/relationships/control" Target="../activeX/activeX27.xml"/><Relationship Id="rId19" Type="http://schemas.openxmlformats.org/officeDocument/2006/relationships/image" Target="../media/image29.emf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4.emf"/><Relationship Id="rId18" Type="http://schemas.openxmlformats.org/officeDocument/2006/relationships/control" Target="../activeX/activeX42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8.emf"/><Relationship Id="rId7" Type="http://schemas.openxmlformats.org/officeDocument/2006/relationships/control" Target="../activeX/activeX36.xml"/><Relationship Id="rId12" Type="http://schemas.openxmlformats.org/officeDocument/2006/relationships/control" Target="../activeX/activeX39.xml"/><Relationship Id="rId17" Type="http://schemas.openxmlformats.org/officeDocument/2006/relationships/image" Target="../media/image36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5.xml"/><Relationship Id="rId11" Type="http://schemas.openxmlformats.org/officeDocument/2006/relationships/image" Target="../media/image33.emf"/><Relationship Id="rId5" Type="http://schemas.openxmlformats.org/officeDocument/2006/relationships/image" Target="../media/image15.emf"/><Relationship Id="rId15" Type="http://schemas.openxmlformats.org/officeDocument/2006/relationships/image" Target="../media/image35.emf"/><Relationship Id="rId23" Type="http://schemas.openxmlformats.org/officeDocument/2006/relationships/image" Target="../media/image39.emf"/><Relationship Id="rId10" Type="http://schemas.openxmlformats.org/officeDocument/2006/relationships/control" Target="../activeX/activeX38.xml"/><Relationship Id="rId19" Type="http://schemas.openxmlformats.org/officeDocument/2006/relationships/image" Target="../media/image37.emf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42.emf"/><Relationship Id="rId18" Type="http://schemas.openxmlformats.org/officeDocument/2006/relationships/control" Target="../activeX/activeX53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6.emf"/><Relationship Id="rId7" Type="http://schemas.openxmlformats.org/officeDocument/2006/relationships/control" Target="../activeX/activeX47.xml"/><Relationship Id="rId12" Type="http://schemas.openxmlformats.org/officeDocument/2006/relationships/control" Target="../activeX/activeX50.xml"/><Relationship Id="rId17" Type="http://schemas.openxmlformats.org/officeDocument/2006/relationships/image" Target="../media/image4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52.xml"/><Relationship Id="rId20" Type="http://schemas.openxmlformats.org/officeDocument/2006/relationships/control" Target="../activeX/activeX5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image" Target="../media/image41.emf"/><Relationship Id="rId5" Type="http://schemas.openxmlformats.org/officeDocument/2006/relationships/image" Target="../media/image15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10" Type="http://schemas.openxmlformats.org/officeDocument/2006/relationships/control" Target="../activeX/activeX49.xml"/><Relationship Id="rId19" Type="http://schemas.openxmlformats.org/officeDocument/2006/relationships/image" Target="../media/image45.emf"/><Relationship Id="rId4" Type="http://schemas.openxmlformats.org/officeDocument/2006/relationships/control" Target="../activeX/activeX45.xml"/><Relationship Id="rId9" Type="http://schemas.openxmlformats.org/officeDocument/2006/relationships/image" Target="../media/image40.emf"/><Relationship Id="rId14" Type="http://schemas.openxmlformats.org/officeDocument/2006/relationships/control" Target="../activeX/activeX51.xml"/><Relationship Id="rId22" Type="http://schemas.openxmlformats.org/officeDocument/2006/relationships/control" Target="../activeX/activeX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2F953-681B-45AD-9C90-3F5969802686}">
  <sheetPr codeName="Planilha5">
    <tabColor rgb="FF7030A0"/>
    <pageSetUpPr fitToPage="1"/>
  </sheetPr>
  <dimension ref="A2:P106"/>
  <sheetViews>
    <sheetView showGridLines="0" showRowColHeaders="0" tabSelected="1" zoomScale="90" zoomScaleNormal="90" workbookViewId="0"/>
  </sheetViews>
  <sheetFormatPr defaultRowHeight="14.5" x14ac:dyDescent="0.35"/>
  <cols>
    <col min="1" max="1" width="2.81640625" customWidth="1"/>
    <col min="2" max="2" width="6.54296875" customWidth="1"/>
    <col min="3" max="3" width="50.1796875" customWidth="1"/>
    <col min="4" max="4" width="4.54296875" customWidth="1"/>
    <col min="5" max="5" width="49.26953125" customWidth="1"/>
    <col min="6" max="6" width="8.453125" customWidth="1"/>
    <col min="7" max="7" width="7.54296875" customWidth="1"/>
    <col min="8" max="8" width="9.7265625" customWidth="1"/>
    <col min="9" max="9" width="2.54296875" customWidth="1"/>
    <col min="10" max="10" width="9.1796875" style="5"/>
    <col min="11" max="11" width="18.81640625" customWidth="1"/>
  </cols>
  <sheetData>
    <row r="2" spans="1:16" ht="15" customHeight="1" x14ac:dyDescent="0.35">
      <c r="B2" s="52" t="s">
        <v>0</v>
      </c>
      <c r="C2" s="53"/>
      <c r="D2" s="53"/>
      <c r="E2" s="53"/>
      <c r="F2" s="53"/>
      <c r="G2" s="53"/>
      <c r="H2" s="54"/>
    </row>
    <row r="3" spans="1:16" ht="15" customHeight="1" x14ac:dyDescent="0.35">
      <c r="B3" s="55" t="s">
        <v>1</v>
      </c>
      <c r="C3" s="56"/>
      <c r="D3" s="56"/>
      <c r="E3" s="56"/>
      <c r="F3" s="56"/>
      <c r="G3" s="56"/>
      <c r="H3" s="57"/>
    </row>
    <row r="4" spans="1:16" ht="41.25" customHeight="1" x14ac:dyDescent="0.35">
      <c r="A4" s="2"/>
      <c r="B4" s="58" t="s">
        <v>2</v>
      </c>
      <c r="C4" s="59"/>
      <c r="D4" s="59"/>
      <c r="E4" s="59"/>
      <c r="F4" s="59"/>
      <c r="G4" s="59"/>
      <c r="H4" s="60"/>
    </row>
    <row r="5" spans="1:16" ht="6" customHeight="1" x14ac:dyDescent="0.35">
      <c r="B5" s="61"/>
      <c r="C5" s="62"/>
      <c r="D5" s="62"/>
      <c r="E5" s="62"/>
      <c r="F5" s="62"/>
      <c r="G5" s="62"/>
      <c r="H5" s="63"/>
    </row>
    <row r="6" spans="1:16" s="2" customFormat="1" ht="25.5" customHeight="1" x14ac:dyDescent="0.35">
      <c r="B6" s="6" t="s">
        <v>3</v>
      </c>
      <c r="C6" s="64"/>
      <c r="D6" s="64"/>
      <c r="E6" s="64"/>
      <c r="F6" s="64"/>
      <c r="G6" s="64"/>
      <c r="H6" s="65"/>
      <c r="J6" s="5"/>
      <c r="K6"/>
      <c r="L6"/>
      <c r="M6"/>
      <c r="N6"/>
      <c r="O6"/>
      <c r="P6"/>
    </row>
    <row r="7" spans="1:16" ht="51.75" customHeight="1" x14ac:dyDescent="0.35">
      <c r="B7" s="3"/>
      <c r="H7" s="4"/>
    </row>
    <row r="8" spans="1:16" ht="15" customHeight="1" x14ac:dyDescent="0.35">
      <c r="B8" s="7" t="s">
        <v>4</v>
      </c>
      <c r="C8" s="8" t="s">
        <v>5</v>
      </c>
      <c r="D8" s="7" t="s">
        <v>6</v>
      </c>
      <c r="E8" s="7" t="s">
        <v>7</v>
      </c>
      <c r="F8" s="7" t="s">
        <v>8</v>
      </c>
      <c r="G8" s="7"/>
      <c r="H8" s="7" t="s">
        <v>9</v>
      </c>
      <c r="K8" s="1"/>
    </row>
    <row r="9" spans="1:16" x14ac:dyDescent="0.35">
      <c r="B9" s="46" t="s">
        <v>10</v>
      </c>
      <c r="C9" s="49" t="s">
        <v>11</v>
      </c>
      <c r="D9" s="49">
        <v>160</v>
      </c>
      <c r="E9" s="9"/>
      <c r="F9" s="10"/>
      <c r="G9" s="49">
        <f>SUM(F9:F13)</f>
        <v>0</v>
      </c>
      <c r="H9" s="49" t="str">
        <f>IF(G9&lt;120,"CURSAR","")</f>
        <v>CURSAR</v>
      </c>
      <c r="K9" s="1"/>
    </row>
    <row r="10" spans="1:16" x14ac:dyDescent="0.35">
      <c r="B10" s="47"/>
      <c r="C10" s="50"/>
      <c r="D10" s="50"/>
      <c r="E10" s="11"/>
      <c r="F10" s="12"/>
      <c r="G10" s="50"/>
      <c r="H10" s="50"/>
      <c r="K10" s="1"/>
    </row>
    <row r="11" spans="1:16" x14ac:dyDescent="0.35">
      <c r="B11" s="47"/>
      <c r="C11" s="50"/>
      <c r="D11" s="50"/>
      <c r="E11" s="13"/>
      <c r="F11" s="12"/>
      <c r="G11" s="50"/>
      <c r="H11" s="50"/>
      <c r="K11" s="1"/>
    </row>
    <row r="12" spans="1:16" x14ac:dyDescent="0.35">
      <c r="B12" s="47"/>
      <c r="C12" s="50"/>
      <c r="D12" s="50"/>
      <c r="E12" s="13"/>
      <c r="F12" s="12"/>
      <c r="G12" s="50"/>
      <c r="H12" s="50"/>
      <c r="K12" s="1"/>
    </row>
    <row r="13" spans="1:16" x14ac:dyDescent="0.35">
      <c r="B13" s="48"/>
      <c r="C13" s="51"/>
      <c r="D13" s="51"/>
      <c r="E13" s="14"/>
      <c r="F13" s="15"/>
      <c r="G13" s="51"/>
      <c r="H13" s="51"/>
      <c r="K13" s="1"/>
    </row>
    <row r="14" spans="1:16" x14ac:dyDescent="0.35">
      <c r="B14" s="46" t="s">
        <v>10</v>
      </c>
      <c r="C14" s="49" t="s">
        <v>12</v>
      </c>
      <c r="D14" s="49">
        <v>160</v>
      </c>
      <c r="E14" s="9"/>
      <c r="F14" s="10"/>
      <c r="G14" s="49">
        <f>SUM(F14:F18)</f>
        <v>0</v>
      </c>
      <c r="H14" s="49" t="str">
        <f>IF(G14&lt;120,"CURSAR","")</f>
        <v>CURSAR</v>
      </c>
      <c r="K14" s="1"/>
    </row>
    <row r="15" spans="1:16" x14ac:dyDescent="0.35">
      <c r="B15" s="47"/>
      <c r="C15" s="50"/>
      <c r="D15" s="50"/>
      <c r="E15" s="11"/>
      <c r="F15" s="12"/>
      <c r="G15" s="50"/>
      <c r="H15" s="50"/>
      <c r="K15" s="1"/>
    </row>
    <row r="16" spans="1:16" x14ac:dyDescent="0.35">
      <c r="B16" s="47"/>
      <c r="C16" s="50"/>
      <c r="D16" s="50"/>
      <c r="E16" s="13"/>
      <c r="F16" s="12"/>
      <c r="G16" s="50"/>
      <c r="H16" s="50"/>
      <c r="K16" s="1"/>
    </row>
    <row r="17" spans="2:11" x14ac:dyDescent="0.35">
      <c r="B17" s="47"/>
      <c r="C17" s="50"/>
      <c r="D17" s="50"/>
      <c r="E17" s="13"/>
      <c r="F17" s="12"/>
      <c r="G17" s="50"/>
      <c r="H17" s="50"/>
      <c r="K17" s="1"/>
    </row>
    <row r="18" spans="2:11" x14ac:dyDescent="0.35">
      <c r="B18" s="48"/>
      <c r="C18" s="51"/>
      <c r="D18" s="51"/>
      <c r="E18" s="14"/>
      <c r="F18" s="15"/>
      <c r="G18" s="51"/>
      <c r="H18" s="51"/>
      <c r="K18" s="1"/>
    </row>
    <row r="19" spans="2:11" x14ac:dyDescent="0.35">
      <c r="B19" s="46" t="s">
        <v>10</v>
      </c>
      <c r="C19" s="49" t="s">
        <v>13</v>
      </c>
      <c r="D19" s="49">
        <v>160</v>
      </c>
      <c r="E19" s="9"/>
      <c r="F19" s="10"/>
      <c r="G19" s="49">
        <f>SUM(F19:F23)</f>
        <v>0</v>
      </c>
      <c r="H19" s="49" t="str">
        <f>IF(G19&lt;120,"CURSAR","")</f>
        <v>CURSAR</v>
      </c>
      <c r="K19" s="1"/>
    </row>
    <row r="20" spans="2:11" x14ac:dyDescent="0.35">
      <c r="B20" s="47"/>
      <c r="C20" s="50"/>
      <c r="D20" s="50"/>
      <c r="E20" s="11"/>
      <c r="F20" s="12"/>
      <c r="G20" s="50"/>
      <c r="H20" s="50"/>
      <c r="K20" s="1"/>
    </row>
    <row r="21" spans="2:11" x14ac:dyDescent="0.35">
      <c r="B21" s="47"/>
      <c r="C21" s="50"/>
      <c r="D21" s="50"/>
      <c r="E21" s="13"/>
      <c r="F21" s="12"/>
      <c r="G21" s="50"/>
      <c r="H21" s="50"/>
      <c r="K21" s="1"/>
    </row>
    <row r="22" spans="2:11" x14ac:dyDescent="0.35">
      <c r="B22" s="47"/>
      <c r="C22" s="50"/>
      <c r="D22" s="50"/>
      <c r="E22" s="13"/>
      <c r="F22" s="12"/>
      <c r="G22" s="50"/>
      <c r="H22" s="50"/>
      <c r="K22" s="1"/>
    </row>
    <row r="23" spans="2:11" x14ac:dyDescent="0.35">
      <c r="B23" s="48"/>
      <c r="C23" s="51"/>
      <c r="D23" s="51"/>
      <c r="E23" s="14"/>
      <c r="F23" s="15"/>
      <c r="G23" s="51"/>
      <c r="H23" s="51"/>
      <c r="K23" s="1"/>
    </row>
    <row r="24" spans="2:11" x14ac:dyDescent="0.35">
      <c r="B24" s="46" t="s">
        <v>10</v>
      </c>
      <c r="C24" s="49" t="s">
        <v>14</v>
      </c>
      <c r="D24" s="49">
        <v>160</v>
      </c>
      <c r="E24" s="9"/>
      <c r="F24" s="10"/>
      <c r="G24" s="49">
        <f>SUM(F24:F28)</f>
        <v>0</v>
      </c>
      <c r="H24" s="49" t="str">
        <f>IF(G24&lt;120,"CURSAR","")</f>
        <v>CURSAR</v>
      </c>
      <c r="K24" s="1"/>
    </row>
    <row r="25" spans="2:11" x14ac:dyDescent="0.35">
      <c r="B25" s="47"/>
      <c r="C25" s="50"/>
      <c r="D25" s="50"/>
      <c r="E25" s="11"/>
      <c r="F25" s="12"/>
      <c r="G25" s="50"/>
      <c r="H25" s="50"/>
      <c r="K25" s="1"/>
    </row>
    <row r="26" spans="2:11" x14ac:dyDescent="0.35">
      <c r="B26" s="47"/>
      <c r="C26" s="50"/>
      <c r="D26" s="50"/>
      <c r="E26" s="13"/>
      <c r="F26" s="12"/>
      <c r="G26" s="50"/>
      <c r="H26" s="50"/>
      <c r="K26" s="1"/>
    </row>
    <row r="27" spans="2:11" x14ac:dyDescent="0.35">
      <c r="B27" s="47"/>
      <c r="C27" s="50"/>
      <c r="D27" s="50"/>
      <c r="E27" s="13"/>
      <c r="F27" s="12"/>
      <c r="G27" s="50"/>
      <c r="H27" s="50"/>
      <c r="K27" s="1"/>
    </row>
    <row r="28" spans="2:11" x14ac:dyDescent="0.35">
      <c r="B28" s="48"/>
      <c r="C28" s="51"/>
      <c r="D28" s="51"/>
      <c r="E28" s="14"/>
      <c r="F28" s="15"/>
      <c r="G28" s="51"/>
      <c r="H28" s="51"/>
      <c r="K28" s="1"/>
    </row>
    <row r="29" spans="2:11" x14ac:dyDescent="0.35">
      <c r="B29" s="46" t="s">
        <v>10</v>
      </c>
      <c r="C29" s="49" t="s">
        <v>15</v>
      </c>
      <c r="D29" s="49">
        <v>160</v>
      </c>
      <c r="E29" s="9"/>
      <c r="F29" s="10"/>
      <c r="G29" s="49">
        <f>SUM(F29:F33)</f>
        <v>0</v>
      </c>
      <c r="H29" s="49" t="str">
        <f>IF(G29&lt;120,"CURSAR","")</f>
        <v>CURSAR</v>
      </c>
      <c r="K29" s="1"/>
    </row>
    <row r="30" spans="2:11" x14ac:dyDescent="0.35">
      <c r="B30" s="47"/>
      <c r="C30" s="50"/>
      <c r="D30" s="50"/>
      <c r="E30" s="11"/>
      <c r="F30" s="12"/>
      <c r="G30" s="50"/>
      <c r="H30" s="50"/>
      <c r="K30" s="1"/>
    </row>
    <row r="31" spans="2:11" x14ac:dyDescent="0.35">
      <c r="B31" s="47"/>
      <c r="C31" s="50"/>
      <c r="D31" s="50"/>
      <c r="E31" s="13"/>
      <c r="F31" s="12"/>
      <c r="G31" s="50"/>
      <c r="H31" s="50"/>
      <c r="K31" s="1"/>
    </row>
    <row r="32" spans="2:11" x14ac:dyDescent="0.35">
      <c r="B32" s="47"/>
      <c r="C32" s="50"/>
      <c r="D32" s="50"/>
      <c r="E32" s="13"/>
      <c r="F32" s="12"/>
      <c r="G32" s="50"/>
      <c r="H32" s="50"/>
      <c r="K32" s="1"/>
    </row>
    <row r="33" spans="2:11" x14ac:dyDescent="0.35">
      <c r="B33" s="48"/>
      <c r="C33" s="51"/>
      <c r="D33" s="51"/>
      <c r="E33" s="14"/>
      <c r="F33" s="15"/>
      <c r="G33" s="51"/>
      <c r="H33" s="51"/>
      <c r="K33" s="1"/>
    </row>
    <row r="34" spans="2:11" x14ac:dyDescent="0.35">
      <c r="B34" s="46" t="s">
        <v>10</v>
      </c>
      <c r="C34" s="49" t="s">
        <v>16</v>
      </c>
      <c r="D34" s="49">
        <v>160</v>
      </c>
      <c r="E34" s="9"/>
      <c r="F34" s="10"/>
      <c r="G34" s="49">
        <f>SUM(F34:F38)</f>
        <v>0</v>
      </c>
      <c r="H34" s="49" t="str">
        <f>IF(G34&lt;120,"CURSAR","")</f>
        <v>CURSAR</v>
      </c>
      <c r="K34" s="1"/>
    </row>
    <row r="35" spans="2:11" x14ac:dyDescent="0.35">
      <c r="B35" s="47"/>
      <c r="C35" s="50"/>
      <c r="D35" s="50"/>
      <c r="E35" s="11"/>
      <c r="F35" s="12"/>
      <c r="G35" s="50"/>
      <c r="H35" s="50"/>
      <c r="K35" s="1"/>
    </row>
    <row r="36" spans="2:11" x14ac:dyDescent="0.35">
      <c r="B36" s="47"/>
      <c r="C36" s="50"/>
      <c r="D36" s="50"/>
      <c r="E36" s="13"/>
      <c r="F36" s="12"/>
      <c r="G36" s="50"/>
      <c r="H36" s="50"/>
      <c r="K36" s="1"/>
    </row>
    <row r="37" spans="2:11" x14ac:dyDescent="0.35">
      <c r="B37" s="47"/>
      <c r="C37" s="50"/>
      <c r="D37" s="50"/>
      <c r="E37" s="13"/>
      <c r="F37" s="12"/>
      <c r="G37" s="50"/>
      <c r="H37" s="50"/>
      <c r="K37" s="1"/>
    </row>
    <row r="38" spans="2:11" x14ac:dyDescent="0.35">
      <c r="B38" s="48"/>
      <c r="C38" s="51"/>
      <c r="D38" s="51"/>
      <c r="E38" s="14"/>
      <c r="F38" s="15"/>
      <c r="G38" s="51"/>
      <c r="H38" s="51"/>
      <c r="K38" s="1"/>
    </row>
    <row r="39" spans="2:11" x14ac:dyDescent="0.35">
      <c r="B39" s="46" t="s">
        <v>10</v>
      </c>
      <c r="C39" s="49" t="s">
        <v>17</v>
      </c>
      <c r="D39" s="49">
        <v>160</v>
      </c>
      <c r="E39" s="9"/>
      <c r="F39" s="10"/>
      <c r="G39" s="49">
        <f>SUM(F39:F43)</f>
        <v>0</v>
      </c>
      <c r="H39" s="49" t="str">
        <f>IF(G39&lt;120,"CURSAR","")</f>
        <v>CURSAR</v>
      </c>
      <c r="K39" s="1"/>
    </row>
    <row r="40" spans="2:11" x14ac:dyDescent="0.35">
      <c r="B40" s="47"/>
      <c r="C40" s="50"/>
      <c r="D40" s="50"/>
      <c r="E40" s="11"/>
      <c r="F40" s="12"/>
      <c r="G40" s="50"/>
      <c r="H40" s="50"/>
      <c r="K40" s="1"/>
    </row>
    <row r="41" spans="2:11" x14ac:dyDescent="0.35">
      <c r="B41" s="47"/>
      <c r="C41" s="50"/>
      <c r="D41" s="50"/>
      <c r="E41" s="13"/>
      <c r="F41" s="12"/>
      <c r="G41" s="50"/>
      <c r="H41" s="50"/>
      <c r="K41" s="1"/>
    </row>
    <row r="42" spans="2:11" x14ac:dyDescent="0.35">
      <c r="B42" s="47"/>
      <c r="C42" s="50"/>
      <c r="D42" s="50"/>
      <c r="E42" s="13"/>
      <c r="F42" s="12"/>
      <c r="G42" s="50"/>
      <c r="H42" s="50"/>
      <c r="K42" s="1"/>
    </row>
    <row r="43" spans="2:11" x14ac:dyDescent="0.35">
      <c r="B43" s="48"/>
      <c r="C43" s="51"/>
      <c r="D43" s="51"/>
      <c r="E43" s="14"/>
      <c r="F43" s="15"/>
      <c r="G43" s="51"/>
      <c r="H43" s="51"/>
      <c r="K43" s="1"/>
    </row>
    <row r="44" spans="2:11" x14ac:dyDescent="0.35">
      <c r="B44" s="46" t="s">
        <v>10</v>
      </c>
      <c r="C44" s="49" t="s">
        <v>18</v>
      </c>
      <c r="D44" s="49">
        <v>160</v>
      </c>
      <c r="E44" s="9"/>
      <c r="F44" s="10"/>
      <c r="G44" s="49">
        <f>SUM(F44:F48)</f>
        <v>0</v>
      </c>
      <c r="H44" s="49" t="str">
        <f>IF(G44&lt;120,"CURSAR","")</f>
        <v>CURSAR</v>
      </c>
      <c r="K44" s="1"/>
    </row>
    <row r="45" spans="2:11" x14ac:dyDescent="0.35">
      <c r="B45" s="47"/>
      <c r="C45" s="50"/>
      <c r="D45" s="50"/>
      <c r="E45" s="11"/>
      <c r="F45" s="12"/>
      <c r="G45" s="50"/>
      <c r="H45" s="50"/>
      <c r="K45" s="1"/>
    </row>
    <row r="46" spans="2:11" x14ac:dyDescent="0.35">
      <c r="B46" s="47"/>
      <c r="C46" s="50"/>
      <c r="D46" s="50"/>
      <c r="E46" s="13"/>
      <c r="F46" s="12"/>
      <c r="G46" s="50"/>
      <c r="H46" s="50"/>
      <c r="K46" s="1"/>
    </row>
    <row r="47" spans="2:11" x14ac:dyDescent="0.35">
      <c r="B47" s="47"/>
      <c r="C47" s="50"/>
      <c r="D47" s="50"/>
      <c r="E47" s="13"/>
      <c r="F47" s="12"/>
      <c r="G47" s="50"/>
      <c r="H47" s="50"/>
      <c r="K47" s="1"/>
    </row>
    <row r="48" spans="2:11" x14ac:dyDescent="0.35">
      <c r="B48" s="48"/>
      <c r="C48" s="51"/>
      <c r="D48" s="51"/>
      <c r="E48" s="14"/>
      <c r="F48" s="15"/>
      <c r="G48" s="51"/>
      <c r="H48" s="51"/>
      <c r="K48" s="1"/>
    </row>
    <row r="49" spans="2:11" x14ac:dyDescent="0.35">
      <c r="B49" s="46" t="s">
        <v>10</v>
      </c>
      <c r="C49" s="49" t="s">
        <v>19</v>
      </c>
      <c r="D49" s="49">
        <v>160</v>
      </c>
      <c r="E49" s="9"/>
      <c r="F49" s="10"/>
      <c r="G49" s="49">
        <f>SUM(F49:F53)</f>
        <v>0</v>
      </c>
      <c r="H49" s="49" t="str">
        <f>IF(G49&lt;120,"CURSAR","")</f>
        <v>CURSAR</v>
      </c>
      <c r="K49" s="1"/>
    </row>
    <row r="50" spans="2:11" x14ac:dyDescent="0.35">
      <c r="B50" s="47"/>
      <c r="C50" s="50"/>
      <c r="D50" s="50"/>
      <c r="E50" s="11"/>
      <c r="F50" s="12"/>
      <c r="G50" s="50"/>
      <c r="H50" s="50"/>
      <c r="K50" s="1"/>
    </row>
    <row r="51" spans="2:11" x14ac:dyDescent="0.35">
      <c r="B51" s="47"/>
      <c r="C51" s="50"/>
      <c r="D51" s="50"/>
      <c r="E51" s="13"/>
      <c r="F51" s="12"/>
      <c r="G51" s="50"/>
      <c r="H51" s="50"/>
      <c r="K51" s="1"/>
    </row>
    <row r="52" spans="2:11" x14ac:dyDescent="0.35">
      <c r="B52" s="47"/>
      <c r="C52" s="50"/>
      <c r="D52" s="50"/>
      <c r="E52" s="13"/>
      <c r="F52" s="12"/>
      <c r="G52" s="50"/>
      <c r="H52" s="50"/>
      <c r="K52" s="1"/>
    </row>
    <row r="53" spans="2:11" x14ac:dyDescent="0.35">
      <c r="B53" s="48"/>
      <c r="C53" s="51"/>
      <c r="D53" s="51"/>
      <c r="E53" s="14"/>
      <c r="F53" s="15"/>
      <c r="G53" s="51"/>
      <c r="H53" s="51"/>
      <c r="K53" s="1"/>
    </row>
    <row r="54" spans="2:11" x14ac:dyDescent="0.35">
      <c r="B54" s="46" t="s">
        <v>10</v>
      </c>
      <c r="C54" s="49" t="s">
        <v>20</v>
      </c>
      <c r="D54" s="49">
        <v>160</v>
      </c>
      <c r="E54" s="9"/>
      <c r="F54" s="10"/>
      <c r="G54" s="49">
        <f>SUM(F54:F58)</f>
        <v>0</v>
      </c>
      <c r="H54" s="49" t="str">
        <f>IF(G54&lt;120,"CURSAR","")</f>
        <v>CURSAR</v>
      </c>
      <c r="K54" s="1"/>
    </row>
    <row r="55" spans="2:11" x14ac:dyDescent="0.35">
      <c r="B55" s="47"/>
      <c r="C55" s="50"/>
      <c r="D55" s="50"/>
      <c r="E55" s="11"/>
      <c r="F55" s="12"/>
      <c r="G55" s="50"/>
      <c r="H55" s="50"/>
      <c r="K55" s="1"/>
    </row>
    <row r="56" spans="2:11" x14ac:dyDescent="0.35">
      <c r="B56" s="47"/>
      <c r="C56" s="50"/>
      <c r="D56" s="50"/>
      <c r="E56" s="13"/>
      <c r="F56" s="12"/>
      <c r="G56" s="50"/>
      <c r="H56" s="50"/>
      <c r="K56" s="1"/>
    </row>
    <row r="57" spans="2:11" x14ac:dyDescent="0.35">
      <c r="B57" s="47"/>
      <c r="C57" s="50"/>
      <c r="D57" s="50"/>
      <c r="E57" s="13"/>
      <c r="F57" s="12"/>
      <c r="G57" s="50"/>
      <c r="H57" s="50"/>
      <c r="K57" s="1"/>
    </row>
    <row r="58" spans="2:11" x14ac:dyDescent="0.35">
      <c r="B58" s="48"/>
      <c r="C58" s="51"/>
      <c r="D58" s="51"/>
      <c r="E58" s="14"/>
      <c r="F58" s="15"/>
      <c r="G58" s="51"/>
      <c r="H58" s="51"/>
      <c r="K58" s="1"/>
    </row>
    <row r="59" spans="2:11" x14ac:dyDescent="0.35">
      <c r="B59" s="46" t="s">
        <v>10</v>
      </c>
      <c r="C59" s="49" t="s">
        <v>21</v>
      </c>
      <c r="D59" s="49">
        <v>160</v>
      </c>
      <c r="E59" s="9"/>
      <c r="F59" s="10"/>
      <c r="G59" s="49">
        <f>SUM(F59:F63)</f>
        <v>0</v>
      </c>
      <c r="H59" s="49" t="str">
        <f>IF(G59&lt;120,"CURSAR","")</f>
        <v>CURSAR</v>
      </c>
      <c r="K59" s="1"/>
    </row>
    <row r="60" spans="2:11" x14ac:dyDescent="0.35">
      <c r="B60" s="47"/>
      <c r="C60" s="50"/>
      <c r="D60" s="50"/>
      <c r="E60" s="11"/>
      <c r="F60" s="12"/>
      <c r="G60" s="50"/>
      <c r="H60" s="50"/>
      <c r="K60" s="1"/>
    </row>
    <row r="61" spans="2:11" x14ac:dyDescent="0.35">
      <c r="B61" s="47"/>
      <c r="C61" s="50"/>
      <c r="D61" s="50"/>
      <c r="E61" s="13"/>
      <c r="F61" s="12"/>
      <c r="G61" s="50"/>
      <c r="H61" s="50"/>
      <c r="K61" s="1"/>
    </row>
    <row r="62" spans="2:11" x14ac:dyDescent="0.35">
      <c r="B62" s="47"/>
      <c r="C62" s="50"/>
      <c r="D62" s="50"/>
      <c r="E62" s="13"/>
      <c r="F62" s="12"/>
      <c r="G62" s="50"/>
      <c r="H62" s="50"/>
      <c r="K62" s="1"/>
    </row>
    <row r="63" spans="2:11" x14ac:dyDescent="0.35">
      <c r="B63" s="48"/>
      <c r="C63" s="51"/>
      <c r="D63" s="51"/>
      <c r="E63" s="14"/>
      <c r="F63" s="15"/>
      <c r="G63" s="51"/>
      <c r="H63" s="51"/>
      <c r="K63" s="1"/>
    </row>
    <row r="64" spans="2:11" x14ac:dyDescent="0.35">
      <c r="B64" s="46" t="s">
        <v>10</v>
      </c>
      <c r="C64" s="49" t="s">
        <v>22</v>
      </c>
      <c r="D64" s="49">
        <v>160</v>
      </c>
      <c r="E64" s="9"/>
      <c r="F64" s="10"/>
      <c r="G64" s="49">
        <f>SUM(F64:F68)</f>
        <v>0</v>
      </c>
      <c r="H64" s="49" t="str">
        <f>IF(G64&lt;120,"CURSAR","")</f>
        <v>CURSAR</v>
      </c>
      <c r="K64" s="1"/>
    </row>
    <row r="65" spans="2:11" x14ac:dyDescent="0.35">
      <c r="B65" s="47"/>
      <c r="C65" s="50"/>
      <c r="D65" s="50"/>
      <c r="E65" s="11"/>
      <c r="F65" s="12"/>
      <c r="G65" s="50"/>
      <c r="H65" s="50"/>
      <c r="K65" s="1"/>
    </row>
    <row r="66" spans="2:11" x14ac:dyDescent="0.35">
      <c r="B66" s="47"/>
      <c r="C66" s="50"/>
      <c r="D66" s="50"/>
      <c r="E66" s="13"/>
      <c r="F66" s="12"/>
      <c r="G66" s="50"/>
      <c r="H66" s="50"/>
      <c r="K66" s="1"/>
    </row>
    <row r="67" spans="2:11" x14ac:dyDescent="0.35">
      <c r="B67" s="47"/>
      <c r="C67" s="50"/>
      <c r="D67" s="50"/>
      <c r="E67" s="13"/>
      <c r="F67" s="12"/>
      <c r="G67" s="50"/>
      <c r="H67" s="50"/>
      <c r="K67" s="1"/>
    </row>
    <row r="68" spans="2:11" x14ac:dyDescent="0.35">
      <c r="B68" s="48"/>
      <c r="C68" s="51"/>
      <c r="D68" s="51"/>
      <c r="E68" s="14"/>
      <c r="F68" s="15"/>
      <c r="G68" s="51"/>
      <c r="H68" s="51"/>
      <c r="K68" s="1"/>
    </row>
    <row r="69" spans="2:11" x14ac:dyDescent="0.35">
      <c r="B69" s="46" t="s">
        <v>10</v>
      </c>
      <c r="C69" s="49" t="s">
        <v>23</v>
      </c>
      <c r="D69" s="49">
        <v>160</v>
      </c>
      <c r="E69" s="9"/>
      <c r="F69" s="10"/>
      <c r="G69" s="49">
        <f>SUM(F69:F73)</f>
        <v>0</v>
      </c>
      <c r="H69" s="49" t="str">
        <f>IF(G69&lt;120,"CURSAR","")</f>
        <v>CURSAR</v>
      </c>
      <c r="K69" s="1"/>
    </row>
    <row r="70" spans="2:11" x14ac:dyDescent="0.35">
      <c r="B70" s="47"/>
      <c r="C70" s="50"/>
      <c r="D70" s="50"/>
      <c r="E70" s="11"/>
      <c r="F70" s="12"/>
      <c r="G70" s="50"/>
      <c r="H70" s="50"/>
      <c r="K70" s="1"/>
    </row>
    <row r="71" spans="2:11" x14ac:dyDescent="0.35">
      <c r="B71" s="47"/>
      <c r="C71" s="50"/>
      <c r="D71" s="50"/>
      <c r="E71" s="13"/>
      <c r="F71" s="12"/>
      <c r="G71" s="50"/>
      <c r="H71" s="50"/>
      <c r="K71" s="1"/>
    </row>
    <row r="72" spans="2:11" x14ac:dyDescent="0.35">
      <c r="B72" s="47"/>
      <c r="C72" s="50"/>
      <c r="D72" s="50"/>
      <c r="E72" s="13"/>
      <c r="F72" s="12"/>
      <c r="G72" s="50"/>
      <c r="H72" s="50"/>
      <c r="K72" s="1"/>
    </row>
    <row r="73" spans="2:11" x14ac:dyDescent="0.35">
      <c r="B73" s="48"/>
      <c r="C73" s="51"/>
      <c r="D73" s="51"/>
      <c r="E73" s="14"/>
      <c r="F73" s="15"/>
      <c r="G73" s="51"/>
      <c r="H73" s="51"/>
      <c r="K73" s="1"/>
    </row>
    <row r="74" spans="2:11" x14ac:dyDescent="0.35">
      <c r="B74" s="46" t="s">
        <v>10</v>
      </c>
      <c r="C74" s="49" t="s">
        <v>24</v>
      </c>
      <c r="D74" s="49">
        <v>160</v>
      </c>
      <c r="E74" s="9"/>
      <c r="F74" s="10"/>
      <c r="G74" s="49">
        <f>SUM(F74:F78)</f>
        <v>0</v>
      </c>
      <c r="H74" s="49" t="str">
        <f>IF(G74&lt;120,"CURSAR","")</f>
        <v>CURSAR</v>
      </c>
      <c r="K74" s="1"/>
    </row>
    <row r="75" spans="2:11" x14ac:dyDescent="0.35">
      <c r="B75" s="47"/>
      <c r="C75" s="50"/>
      <c r="D75" s="50"/>
      <c r="E75" s="11"/>
      <c r="F75" s="12"/>
      <c r="G75" s="50"/>
      <c r="H75" s="50"/>
      <c r="K75" s="1"/>
    </row>
    <row r="76" spans="2:11" x14ac:dyDescent="0.35">
      <c r="B76" s="47"/>
      <c r="C76" s="50"/>
      <c r="D76" s="50"/>
      <c r="E76" s="13"/>
      <c r="F76" s="12"/>
      <c r="G76" s="50"/>
      <c r="H76" s="50"/>
      <c r="K76" s="1"/>
    </row>
    <row r="77" spans="2:11" x14ac:dyDescent="0.35">
      <c r="B77" s="47"/>
      <c r="C77" s="50"/>
      <c r="D77" s="50"/>
      <c r="E77" s="13"/>
      <c r="F77" s="12"/>
      <c r="G77" s="50"/>
      <c r="H77" s="50"/>
      <c r="K77" s="1"/>
    </row>
    <row r="78" spans="2:11" x14ac:dyDescent="0.35">
      <c r="B78" s="48"/>
      <c r="C78" s="51"/>
      <c r="D78" s="51"/>
      <c r="E78" s="14"/>
      <c r="F78" s="15"/>
      <c r="G78" s="51"/>
      <c r="H78" s="51"/>
      <c r="K78" s="1"/>
    </row>
    <row r="79" spans="2:11" x14ac:dyDescent="0.35">
      <c r="B79" s="46" t="s">
        <v>10</v>
      </c>
      <c r="C79" s="49" t="s">
        <v>25</v>
      </c>
      <c r="D79" s="49">
        <v>160</v>
      </c>
      <c r="E79" s="9"/>
      <c r="F79" s="10"/>
      <c r="G79" s="49">
        <f>SUM(F79:F83)</f>
        <v>0</v>
      </c>
      <c r="H79" s="49" t="str">
        <f>IF(G79&lt;120,"CURSAR","")</f>
        <v>CURSAR</v>
      </c>
      <c r="K79" s="1"/>
    </row>
    <row r="80" spans="2:11" x14ac:dyDescent="0.35">
      <c r="B80" s="47"/>
      <c r="C80" s="50"/>
      <c r="D80" s="50"/>
      <c r="E80" s="11"/>
      <c r="F80" s="12"/>
      <c r="G80" s="50"/>
      <c r="H80" s="50"/>
      <c r="K80" s="1"/>
    </row>
    <row r="81" spans="2:11" x14ac:dyDescent="0.35">
      <c r="B81" s="47"/>
      <c r="C81" s="50"/>
      <c r="D81" s="50"/>
      <c r="E81" s="13"/>
      <c r="F81" s="12"/>
      <c r="G81" s="50"/>
      <c r="H81" s="50"/>
      <c r="K81" s="1"/>
    </row>
    <row r="82" spans="2:11" x14ac:dyDescent="0.35">
      <c r="B82" s="47"/>
      <c r="C82" s="50"/>
      <c r="D82" s="50"/>
      <c r="E82" s="13"/>
      <c r="F82" s="12"/>
      <c r="G82" s="50"/>
      <c r="H82" s="50"/>
      <c r="K82" s="1"/>
    </row>
    <row r="83" spans="2:11" x14ac:dyDescent="0.35">
      <c r="B83" s="48"/>
      <c r="C83" s="51"/>
      <c r="D83" s="51"/>
      <c r="E83" s="14"/>
      <c r="F83" s="15"/>
      <c r="G83" s="51"/>
      <c r="H83" s="51"/>
      <c r="K83" s="1"/>
    </row>
    <row r="84" spans="2:11" x14ac:dyDescent="0.35">
      <c r="B84" s="46" t="s">
        <v>10</v>
      </c>
      <c r="C84" s="49" t="s">
        <v>26</v>
      </c>
      <c r="D84" s="49">
        <v>60</v>
      </c>
      <c r="E84" s="9"/>
      <c r="F84" s="10"/>
      <c r="G84" s="49">
        <f>SUM(F84:F88)</f>
        <v>0</v>
      </c>
      <c r="H84" s="49" t="str">
        <f>IF(G84&lt;120,"CURSAR","")</f>
        <v>CURSAR</v>
      </c>
      <c r="K84" s="1"/>
    </row>
    <row r="85" spans="2:11" x14ac:dyDescent="0.35">
      <c r="B85" s="47"/>
      <c r="C85" s="50"/>
      <c r="D85" s="50"/>
      <c r="E85" s="11"/>
      <c r="F85" s="12"/>
      <c r="G85" s="50"/>
      <c r="H85" s="50"/>
      <c r="K85" s="1"/>
    </row>
    <row r="86" spans="2:11" x14ac:dyDescent="0.35">
      <c r="B86" s="47"/>
      <c r="C86" s="50"/>
      <c r="D86" s="50"/>
      <c r="E86" s="13"/>
      <c r="F86" s="12"/>
      <c r="G86" s="50"/>
      <c r="H86" s="50"/>
      <c r="K86" s="1"/>
    </row>
    <row r="87" spans="2:11" x14ac:dyDescent="0.35">
      <c r="B87" s="47"/>
      <c r="C87" s="50"/>
      <c r="D87" s="50"/>
      <c r="E87" s="13"/>
      <c r="F87" s="12"/>
      <c r="G87" s="50"/>
      <c r="H87" s="50"/>
      <c r="K87" s="1"/>
    </row>
    <row r="88" spans="2:11" x14ac:dyDescent="0.35">
      <c r="B88" s="48"/>
      <c r="C88" s="51"/>
      <c r="D88" s="51"/>
      <c r="E88" s="14"/>
      <c r="F88" s="15"/>
      <c r="G88" s="51"/>
      <c r="H88" s="51"/>
      <c r="K88" s="1"/>
    </row>
    <row r="89" spans="2:11" x14ac:dyDescent="0.35">
      <c r="B89" s="8" t="s">
        <v>4</v>
      </c>
      <c r="C89" s="8" t="s">
        <v>27</v>
      </c>
      <c r="D89" s="8" t="s">
        <v>6</v>
      </c>
      <c r="E89" s="8" t="s">
        <v>7</v>
      </c>
      <c r="F89" s="8" t="s">
        <v>8</v>
      </c>
      <c r="G89" s="8"/>
      <c r="H89" s="8" t="s">
        <v>9</v>
      </c>
    </row>
    <row r="90" spans="2:11" x14ac:dyDescent="0.35">
      <c r="B90" s="46" t="s">
        <v>10</v>
      </c>
      <c r="C90" s="49" t="s">
        <v>28</v>
      </c>
      <c r="D90" s="49">
        <v>300</v>
      </c>
      <c r="E90" s="9"/>
      <c r="F90" s="10"/>
      <c r="G90" s="49">
        <f>SUM(F90:F94)</f>
        <v>0</v>
      </c>
      <c r="H90" s="49" t="str">
        <f>IF(G90&lt;300,"CURSAR","")</f>
        <v>CURSAR</v>
      </c>
    </row>
    <row r="91" spans="2:11" x14ac:dyDescent="0.35">
      <c r="B91" s="47"/>
      <c r="C91" s="50"/>
      <c r="D91" s="50"/>
      <c r="E91" s="11"/>
      <c r="F91" s="12"/>
      <c r="G91" s="50"/>
      <c r="H91" s="50"/>
    </row>
    <row r="92" spans="2:11" x14ac:dyDescent="0.35">
      <c r="B92" s="47"/>
      <c r="C92" s="50"/>
      <c r="D92" s="50"/>
      <c r="E92" s="13"/>
      <c r="F92" s="12"/>
      <c r="G92" s="50"/>
      <c r="H92" s="50"/>
    </row>
    <row r="93" spans="2:11" x14ac:dyDescent="0.35">
      <c r="B93" s="47"/>
      <c r="C93" s="50"/>
      <c r="D93" s="50"/>
      <c r="E93" s="13"/>
      <c r="F93" s="12"/>
      <c r="G93" s="50"/>
      <c r="H93" s="50"/>
    </row>
    <row r="94" spans="2:11" x14ac:dyDescent="0.35">
      <c r="B94" s="48"/>
      <c r="C94" s="51"/>
      <c r="D94" s="51"/>
      <c r="E94" s="14"/>
      <c r="F94" s="15"/>
      <c r="G94" s="51"/>
      <c r="H94" s="51"/>
    </row>
    <row r="95" spans="2:11" x14ac:dyDescent="0.35">
      <c r="B95" s="8" t="s">
        <v>4</v>
      </c>
      <c r="C95" s="8" t="s">
        <v>29</v>
      </c>
      <c r="D95" s="8" t="s">
        <v>6</v>
      </c>
      <c r="E95" s="8" t="s">
        <v>7</v>
      </c>
      <c r="F95" s="8" t="s">
        <v>8</v>
      </c>
      <c r="G95" s="8"/>
      <c r="H95" s="8" t="s">
        <v>9</v>
      </c>
    </row>
    <row r="96" spans="2:11" x14ac:dyDescent="0.35">
      <c r="B96" s="46" t="s">
        <v>10</v>
      </c>
      <c r="C96" s="49" t="s">
        <v>29</v>
      </c>
      <c r="D96" s="49">
        <v>80</v>
      </c>
      <c r="E96" s="9"/>
      <c r="F96" s="10"/>
      <c r="G96" s="49">
        <f>SUM(F96:F100)</f>
        <v>0</v>
      </c>
      <c r="H96" s="49" t="str">
        <f>IF(G96&lt;300,"CURSAR","")</f>
        <v>CURSAR</v>
      </c>
    </row>
    <row r="97" spans="2:8" x14ac:dyDescent="0.35">
      <c r="B97" s="47"/>
      <c r="C97" s="50"/>
      <c r="D97" s="50"/>
      <c r="E97" s="11"/>
      <c r="F97" s="12"/>
      <c r="G97" s="50"/>
      <c r="H97" s="50"/>
    </row>
    <row r="98" spans="2:8" x14ac:dyDescent="0.35">
      <c r="B98" s="47"/>
      <c r="C98" s="50"/>
      <c r="D98" s="50"/>
      <c r="E98" s="13"/>
      <c r="F98" s="12"/>
      <c r="G98" s="50"/>
      <c r="H98" s="50"/>
    </row>
    <row r="99" spans="2:8" x14ac:dyDescent="0.35">
      <c r="B99" s="47"/>
      <c r="C99" s="50"/>
      <c r="D99" s="50"/>
      <c r="E99" s="13"/>
      <c r="F99" s="12"/>
      <c r="G99" s="50"/>
      <c r="H99" s="50"/>
    </row>
    <row r="100" spans="2:8" x14ac:dyDescent="0.35">
      <c r="B100" s="48"/>
      <c r="C100" s="51"/>
      <c r="D100" s="51"/>
      <c r="E100" s="14"/>
      <c r="F100" s="15"/>
      <c r="G100" s="51"/>
      <c r="H100" s="51"/>
    </row>
    <row r="101" spans="2:8" x14ac:dyDescent="0.35">
      <c r="B101" s="75" t="s">
        <v>30</v>
      </c>
      <c r="C101" s="76"/>
      <c r="D101" s="76"/>
      <c r="E101" s="76"/>
      <c r="F101" s="76"/>
      <c r="G101" s="76"/>
      <c r="H101" s="77"/>
    </row>
    <row r="102" spans="2:8" ht="5.25" customHeight="1" x14ac:dyDescent="0.35">
      <c r="E102" s="5" t="s">
        <v>31</v>
      </c>
    </row>
    <row r="103" spans="2:8" x14ac:dyDescent="0.35">
      <c r="B103" s="66" t="str">
        <f>CONCATENATE("Aproveitamento de estudos com base no histórico da ",$J$2," do curso ",$J$3,", apto para o ",$J$4," º semestre no curso de ",$B$4,".  Atenciosamente, Central de Outros Ingressos (COI).")</f>
        <v>Aproveitamento de estudos com base no histórico da  do curso , apto para o  º semestre no curso de BACHARELADO EM ADMINISTRAÇÃO.  Atenciosamente, Central de Outros Ingressos (COI).</v>
      </c>
      <c r="C103" s="67"/>
      <c r="D103" s="67"/>
      <c r="E103" s="67"/>
      <c r="F103" s="67"/>
      <c r="G103" s="67"/>
      <c r="H103" s="68"/>
    </row>
    <row r="104" spans="2:8" x14ac:dyDescent="0.35">
      <c r="B104" s="69"/>
      <c r="C104" s="70"/>
      <c r="D104" s="70"/>
      <c r="E104" s="70"/>
      <c r="F104" s="70"/>
      <c r="G104" s="70"/>
      <c r="H104" s="71"/>
    </row>
    <row r="105" spans="2:8" x14ac:dyDescent="0.35">
      <c r="B105" s="69"/>
      <c r="C105" s="70"/>
      <c r="D105" s="70"/>
      <c r="E105" s="70"/>
      <c r="F105" s="70"/>
      <c r="G105" s="70"/>
      <c r="H105" s="71"/>
    </row>
    <row r="106" spans="2:8" x14ac:dyDescent="0.35">
      <c r="B106" s="16" t="s">
        <v>32</v>
      </c>
      <c r="C106" s="17">
        <f ca="1">TODAY()</f>
        <v>45135</v>
      </c>
      <c r="D106" s="18"/>
      <c r="E106" s="72"/>
      <c r="F106" s="73"/>
      <c r="G106" s="73"/>
      <c r="H106" s="74"/>
    </row>
  </sheetData>
  <mergeCells count="98">
    <mergeCell ref="B14:B18"/>
    <mergeCell ref="C14:C18"/>
    <mergeCell ref="D14:D18"/>
    <mergeCell ref="G14:G18"/>
    <mergeCell ref="H14:H18"/>
    <mergeCell ref="B19:B23"/>
    <mergeCell ref="C19:C23"/>
    <mergeCell ref="D19:D23"/>
    <mergeCell ref="G19:G23"/>
    <mergeCell ref="H19:H23"/>
    <mergeCell ref="B24:B28"/>
    <mergeCell ref="C24:C28"/>
    <mergeCell ref="D24:D28"/>
    <mergeCell ref="G24:G28"/>
    <mergeCell ref="H24:H28"/>
    <mergeCell ref="B29:B33"/>
    <mergeCell ref="C29:C33"/>
    <mergeCell ref="D29:D33"/>
    <mergeCell ref="G29:G33"/>
    <mergeCell ref="H29:H33"/>
    <mergeCell ref="B39:B43"/>
    <mergeCell ref="C39:C43"/>
    <mergeCell ref="D39:D43"/>
    <mergeCell ref="G39:G43"/>
    <mergeCell ref="H39:H43"/>
    <mergeCell ref="B34:B38"/>
    <mergeCell ref="C34:C38"/>
    <mergeCell ref="D34:D38"/>
    <mergeCell ref="G34:G38"/>
    <mergeCell ref="H34:H38"/>
    <mergeCell ref="B49:B53"/>
    <mergeCell ref="C49:C53"/>
    <mergeCell ref="D49:D53"/>
    <mergeCell ref="G49:G53"/>
    <mergeCell ref="H49:H53"/>
    <mergeCell ref="B44:B48"/>
    <mergeCell ref="C44:C48"/>
    <mergeCell ref="D44:D48"/>
    <mergeCell ref="G44:G48"/>
    <mergeCell ref="H44:H48"/>
    <mergeCell ref="B103:H105"/>
    <mergeCell ref="E106:H106"/>
    <mergeCell ref="B96:B100"/>
    <mergeCell ref="C96:C100"/>
    <mergeCell ref="D96:D100"/>
    <mergeCell ref="G96:G100"/>
    <mergeCell ref="H96:H100"/>
    <mergeCell ref="B101:H101"/>
    <mergeCell ref="B90:B94"/>
    <mergeCell ref="C90:C94"/>
    <mergeCell ref="D90:D94"/>
    <mergeCell ref="G90:G94"/>
    <mergeCell ref="H90:H94"/>
    <mergeCell ref="B84:B88"/>
    <mergeCell ref="C84:C88"/>
    <mergeCell ref="D84:D88"/>
    <mergeCell ref="G84:G88"/>
    <mergeCell ref="H84:H88"/>
    <mergeCell ref="B74:B78"/>
    <mergeCell ref="C74:C78"/>
    <mergeCell ref="D74:D78"/>
    <mergeCell ref="G74:G78"/>
    <mergeCell ref="H74:H78"/>
    <mergeCell ref="B79:B83"/>
    <mergeCell ref="C79:C83"/>
    <mergeCell ref="D79:D83"/>
    <mergeCell ref="G79:G83"/>
    <mergeCell ref="H79:H83"/>
    <mergeCell ref="B64:B68"/>
    <mergeCell ref="C64:C68"/>
    <mergeCell ref="D64:D68"/>
    <mergeCell ref="G64:G68"/>
    <mergeCell ref="H64:H68"/>
    <mergeCell ref="B69:B73"/>
    <mergeCell ref="C69:C73"/>
    <mergeCell ref="D69:D73"/>
    <mergeCell ref="G69:G73"/>
    <mergeCell ref="H69:H73"/>
    <mergeCell ref="B54:B58"/>
    <mergeCell ref="C54:C58"/>
    <mergeCell ref="D54:D58"/>
    <mergeCell ref="G54:G58"/>
    <mergeCell ref="H54:H58"/>
    <mergeCell ref="B59:B63"/>
    <mergeCell ref="C59:C63"/>
    <mergeCell ref="D59:D63"/>
    <mergeCell ref="G59:G63"/>
    <mergeCell ref="H59:H63"/>
    <mergeCell ref="B2:H2"/>
    <mergeCell ref="B3:H3"/>
    <mergeCell ref="B4:H4"/>
    <mergeCell ref="B5:H5"/>
    <mergeCell ref="C6:H6"/>
    <mergeCell ref="B9:B13"/>
    <mergeCell ref="C9:C13"/>
    <mergeCell ref="D9:D13"/>
    <mergeCell ref="G9:G13"/>
    <mergeCell ref="H9:H13"/>
  </mergeCells>
  <conditionalFormatting sqref="K8:K88">
    <cfRule type="containsText" dxfId="8" priority="1" operator="containsText" text="Duplicada">
      <formula>NOT(ISERROR(SEARCH("Duplicada",K8)))</formula>
    </cfRule>
  </conditionalFormatting>
  <pageMargins left="0.7" right="0.7" top="0.75" bottom="0.75" header="0.3" footer="0.3"/>
  <pageSetup paperSize="9" scale="42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83" r:id="rId4" name="TXTSEM">
          <controlPr defaultSize="0" autoLine="0" autoPict="0" r:id="rId5">
            <anchor moveWithCells="1">
              <from>
                <xdr:col>10</xdr:col>
                <xdr:colOff>393700</xdr:colOff>
                <xdr:row>5</xdr:row>
                <xdr:rowOff>101600</xdr:rowOff>
              </from>
              <to>
                <xdr:col>14</xdr:col>
                <xdr:colOff>425450</xdr:colOff>
                <xdr:row>6</xdr:row>
                <xdr:rowOff>19050</xdr:rowOff>
              </to>
            </anchor>
          </controlPr>
        </control>
      </mc:Choice>
      <mc:Fallback>
        <control shapeId="3083" r:id="rId4" name="TXTSEM"/>
      </mc:Fallback>
    </mc:AlternateContent>
    <mc:AlternateContent xmlns:mc="http://schemas.openxmlformats.org/markup-compatibility/2006">
      <mc:Choice Requires="x14">
        <control shapeId="3082" r:id="rId6" name="TXTCURSO">
          <controlPr defaultSize="0" autoLine="0" autoPict="0" r:id="rId7">
            <anchor moveWithCells="1">
              <from>
                <xdr:col>10</xdr:col>
                <xdr:colOff>393700</xdr:colOff>
                <xdr:row>3</xdr:row>
                <xdr:rowOff>361950</xdr:rowOff>
              </from>
              <to>
                <xdr:col>14</xdr:col>
                <xdr:colOff>425450</xdr:colOff>
                <xdr:row>4</xdr:row>
                <xdr:rowOff>76200</xdr:rowOff>
              </to>
            </anchor>
          </controlPr>
        </control>
      </mc:Choice>
      <mc:Fallback>
        <control shapeId="3082" r:id="rId6" name="TXTCURSO"/>
      </mc:Fallback>
    </mc:AlternateContent>
    <mc:AlternateContent xmlns:mc="http://schemas.openxmlformats.org/markup-compatibility/2006">
      <mc:Choice Requires="x14">
        <control shapeId="3081" r:id="rId8" name="TXTIES">
          <controlPr defaultSize="0" autoLine="0" autoPict="0" r:id="rId5">
            <anchor moveWithCells="1">
              <from>
                <xdr:col>10</xdr:col>
                <xdr:colOff>406400</xdr:colOff>
                <xdr:row>3</xdr:row>
                <xdr:rowOff>19050</xdr:rowOff>
              </from>
              <to>
                <xdr:col>14</xdr:col>
                <xdr:colOff>431800</xdr:colOff>
                <xdr:row>3</xdr:row>
                <xdr:rowOff>254000</xdr:rowOff>
              </to>
            </anchor>
          </controlPr>
        </control>
      </mc:Choice>
      <mc:Fallback>
        <control shapeId="3081" r:id="rId8" name="TXTIES"/>
      </mc:Fallback>
    </mc:AlternateContent>
    <mc:AlternateContent xmlns:mc="http://schemas.openxmlformats.org/markup-compatibility/2006">
      <mc:Choice Requires="x14">
        <control shapeId="3080" r:id="rId9" name="CBXReanáliseDisp">
          <controlPr defaultSize="0" autoLine="0" r:id="rId10">
            <anchor moveWithCells="1">
              <from>
                <xdr:col>5</xdr:col>
                <xdr:colOff>0</xdr:colOff>
                <xdr:row>6</xdr:row>
                <xdr:rowOff>114300</xdr:rowOff>
              </from>
              <to>
                <xdr:col>6</xdr:col>
                <xdr:colOff>450850</xdr:colOff>
                <xdr:row>6</xdr:row>
                <xdr:rowOff>476250</xdr:rowOff>
              </to>
            </anchor>
          </controlPr>
        </control>
      </mc:Choice>
      <mc:Fallback>
        <control shapeId="3080" r:id="rId9" name="CBXReanáliseDisp"/>
      </mc:Fallback>
    </mc:AlternateContent>
    <mc:AlternateContent xmlns:mc="http://schemas.openxmlformats.org/markup-compatibility/2006">
      <mc:Choice Requires="x14">
        <control shapeId="3079" r:id="rId11" name="CBXTransfdeCurso">
          <controlPr defaultSize="0" autoLine="0" r:id="rId12">
            <anchor moveWithCells="1">
              <from>
                <xdr:col>2</xdr:col>
                <xdr:colOff>1708150</xdr:colOff>
                <xdr:row>6</xdr:row>
                <xdr:rowOff>114300</xdr:rowOff>
              </from>
              <to>
                <xdr:col>2</xdr:col>
                <xdr:colOff>2717800</xdr:colOff>
                <xdr:row>6</xdr:row>
                <xdr:rowOff>476250</xdr:rowOff>
              </to>
            </anchor>
          </controlPr>
        </control>
      </mc:Choice>
      <mc:Fallback>
        <control shapeId="3079" r:id="rId11" name="CBXTransfdeCurso"/>
      </mc:Fallback>
    </mc:AlternateContent>
    <mc:AlternateContent xmlns:mc="http://schemas.openxmlformats.org/markup-compatibility/2006">
      <mc:Choice Requires="x14">
        <control shapeId="3078" r:id="rId13" name="CBXDispdeDisciplina">
          <controlPr defaultSize="0" autoLine="0" r:id="rId14">
            <anchor moveWithCells="1">
              <from>
                <xdr:col>4</xdr:col>
                <xdr:colOff>2190750</xdr:colOff>
                <xdr:row>6</xdr:row>
                <xdr:rowOff>114300</xdr:rowOff>
              </from>
              <to>
                <xdr:col>4</xdr:col>
                <xdr:colOff>3200400</xdr:colOff>
                <xdr:row>6</xdr:row>
                <xdr:rowOff>476250</xdr:rowOff>
              </to>
            </anchor>
          </controlPr>
        </control>
      </mc:Choice>
      <mc:Fallback>
        <control shapeId="3078" r:id="rId13" name="CBXDispdeDisciplina"/>
      </mc:Fallback>
    </mc:AlternateContent>
    <mc:AlternateContent xmlns:mc="http://schemas.openxmlformats.org/markup-compatibility/2006">
      <mc:Choice Requires="x14">
        <control shapeId="3077" r:id="rId15" name="CBXPortdeDiploma">
          <controlPr defaultSize="0" autoLine="0" r:id="rId16">
            <anchor moveWithCells="1">
              <from>
                <xdr:col>4</xdr:col>
                <xdr:colOff>1352550</xdr:colOff>
                <xdr:row>6</xdr:row>
                <xdr:rowOff>114300</xdr:rowOff>
              </from>
              <to>
                <xdr:col>4</xdr:col>
                <xdr:colOff>2298700</xdr:colOff>
                <xdr:row>6</xdr:row>
                <xdr:rowOff>476250</xdr:rowOff>
              </to>
            </anchor>
          </controlPr>
        </control>
      </mc:Choice>
      <mc:Fallback>
        <control shapeId="3077" r:id="rId15" name="CBXPortdeDiploma"/>
      </mc:Fallback>
    </mc:AlternateContent>
    <mc:AlternateContent xmlns:mc="http://schemas.openxmlformats.org/markup-compatibility/2006">
      <mc:Choice Requires="x14">
        <control shapeId="3076" r:id="rId17" name="CBXReanalisedeReingresso">
          <controlPr defaultSize="0" autoLine="0" r:id="rId18">
            <anchor moveWithCells="1">
              <from>
                <xdr:col>4</xdr:col>
                <xdr:colOff>165100</xdr:colOff>
                <xdr:row>6</xdr:row>
                <xdr:rowOff>114300</xdr:rowOff>
              </from>
              <to>
                <xdr:col>4</xdr:col>
                <xdr:colOff>1174750</xdr:colOff>
                <xdr:row>6</xdr:row>
                <xdr:rowOff>476250</xdr:rowOff>
              </to>
            </anchor>
          </controlPr>
        </control>
      </mc:Choice>
      <mc:Fallback>
        <control shapeId="3076" r:id="rId17" name="CBXReanalisedeReingresso"/>
      </mc:Fallback>
    </mc:AlternateContent>
    <mc:AlternateContent xmlns:mc="http://schemas.openxmlformats.org/markup-compatibility/2006">
      <mc:Choice Requires="x14">
        <control shapeId="3075" r:id="rId19" name="CBXReingressoReabertura">
          <controlPr defaultSize="0" autoLine="0" r:id="rId20">
            <anchor moveWithCells="1">
              <from>
                <xdr:col>2</xdr:col>
                <xdr:colOff>2762250</xdr:colOff>
                <xdr:row>6</xdr:row>
                <xdr:rowOff>114300</xdr:rowOff>
              </from>
              <to>
                <xdr:col>4</xdr:col>
                <xdr:colOff>127000</xdr:colOff>
                <xdr:row>6</xdr:row>
                <xdr:rowOff>476250</xdr:rowOff>
              </to>
            </anchor>
          </controlPr>
        </control>
      </mc:Choice>
      <mc:Fallback>
        <control shapeId="3075" r:id="rId19" name="CBXReingressoReabertura"/>
      </mc:Fallback>
    </mc:AlternateContent>
    <mc:AlternateContent xmlns:mc="http://schemas.openxmlformats.org/markup-compatibility/2006">
      <mc:Choice Requires="x14">
        <control shapeId="3074" r:id="rId21" name="CBXTransfInterna">
          <controlPr defaultSize="0" autoLine="0" r:id="rId22">
            <anchor moveWithCells="1">
              <from>
                <xdr:col>2</xdr:col>
                <xdr:colOff>800100</xdr:colOff>
                <xdr:row>6</xdr:row>
                <xdr:rowOff>114300</xdr:rowOff>
              </from>
              <to>
                <xdr:col>2</xdr:col>
                <xdr:colOff>1809750</xdr:colOff>
                <xdr:row>6</xdr:row>
                <xdr:rowOff>476250</xdr:rowOff>
              </to>
            </anchor>
          </controlPr>
        </control>
      </mc:Choice>
      <mc:Fallback>
        <control shapeId="3074" r:id="rId21" name="CBXTransfInterna"/>
      </mc:Fallback>
    </mc:AlternateContent>
    <mc:AlternateContent xmlns:mc="http://schemas.openxmlformats.org/markup-compatibility/2006">
      <mc:Choice Requires="x14">
        <control shapeId="3073" r:id="rId23" name="CBXTransfExterna">
          <controlPr defaultSize="0" autoLine="0" r:id="rId24">
            <anchor moveWithCells="1">
              <from>
                <xdr:col>1</xdr:col>
                <xdr:colOff>171450</xdr:colOff>
                <xdr:row>6</xdr:row>
                <xdr:rowOff>114300</xdr:rowOff>
              </from>
              <to>
                <xdr:col>2</xdr:col>
                <xdr:colOff>742950</xdr:colOff>
                <xdr:row>6</xdr:row>
                <xdr:rowOff>476250</xdr:rowOff>
              </to>
            </anchor>
          </controlPr>
        </control>
      </mc:Choice>
      <mc:Fallback>
        <control shapeId="3073" r:id="rId23" name="CBXTransfExter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5E6D5-2B72-4EE1-A284-1C85D72B7841}">
  <sheetPr codeName="Planilha1">
    <tabColor rgb="FF00B050"/>
    <pageSetUpPr fitToPage="1"/>
  </sheetPr>
  <dimension ref="A2:J63"/>
  <sheetViews>
    <sheetView showGridLines="0" showRowColHeaders="0" zoomScale="70" zoomScaleNormal="70" workbookViewId="0"/>
  </sheetViews>
  <sheetFormatPr defaultRowHeight="14.5" x14ac:dyDescent="0.35"/>
  <cols>
    <col min="1" max="1" width="2.81640625" customWidth="1"/>
    <col min="2" max="2" width="6.54296875" customWidth="1"/>
    <col min="3" max="3" width="50.1796875" customWidth="1"/>
    <col min="4" max="4" width="4.54296875" customWidth="1"/>
    <col min="5" max="5" width="49.26953125" customWidth="1"/>
    <col min="6" max="6" width="8.453125" customWidth="1"/>
    <col min="7" max="7" width="9.7265625" customWidth="1"/>
    <col min="8" max="8" width="2.54296875" customWidth="1"/>
    <col min="10" max="10" width="18.81640625" customWidth="1"/>
  </cols>
  <sheetData>
    <row r="2" spans="1:10" ht="15" customHeight="1" x14ac:dyDescent="0.35">
      <c r="B2" s="92" t="s">
        <v>33</v>
      </c>
      <c r="C2" s="93"/>
      <c r="D2" s="93"/>
      <c r="E2" s="93"/>
      <c r="F2" s="93"/>
      <c r="G2" s="94"/>
    </row>
    <row r="3" spans="1:10" ht="15" customHeight="1" x14ac:dyDescent="0.35">
      <c r="B3" s="95"/>
      <c r="C3" s="96"/>
      <c r="D3" s="96"/>
      <c r="E3" s="96"/>
      <c r="F3" s="96"/>
      <c r="G3" s="97"/>
    </row>
    <row r="4" spans="1:10" ht="41.25" customHeight="1" x14ac:dyDescent="0.35">
      <c r="A4" s="2"/>
      <c r="B4" s="98"/>
      <c r="C4" s="99"/>
      <c r="D4" s="99"/>
      <c r="E4" s="99"/>
      <c r="F4" s="99"/>
      <c r="G4" s="100"/>
    </row>
    <row r="5" spans="1:10" ht="15" customHeight="1" x14ac:dyDescent="0.35">
      <c r="B5" s="101"/>
      <c r="C5" s="102"/>
      <c r="D5" s="102"/>
      <c r="E5" s="102"/>
      <c r="F5" s="102"/>
      <c r="G5" s="103"/>
    </row>
    <row r="6" spans="1:10" x14ac:dyDescent="0.35">
      <c r="B6" s="21" t="s">
        <v>3</v>
      </c>
      <c r="C6" s="104" t="s">
        <v>34</v>
      </c>
      <c r="D6" s="104"/>
      <c r="E6" s="104"/>
      <c r="F6" s="104"/>
      <c r="G6" s="105"/>
    </row>
    <row r="7" spans="1:10" ht="51.75" customHeight="1" x14ac:dyDescent="0.35">
      <c r="B7" s="3"/>
      <c r="G7" s="4"/>
    </row>
    <row r="8" spans="1:10" ht="15" customHeight="1" x14ac:dyDescent="0.35">
      <c r="B8" s="22" t="s">
        <v>4</v>
      </c>
      <c r="C8" s="23" t="s">
        <v>35</v>
      </c>
      <c r="D8" s="22" t="s">
        <v>6</v>
      </c>
      <c r="E8" s="22" t="s">
        <v>7</v>
      </c>
      <c r="F8" s="22" t="s">
        <v>8</v>
      </c>
      <c r="G8" s="22" t="s">
        <v>9</v>
      </c>
      <c r="I8" s="106" t="s">
        <v>36</v>
      </c>
      <c r="J8" s="106"/>
    </row>
    <row r="9" spans="1:10" x14ac:dyDescent="0.35">
      <c r="B9" s="24"/>
      <c r="C9" s="25" t="s">
        <v>37</v>
      </c>
      <c r="D9" s="24">
        <v>88</v>
      </c>
      <c r="E9" s="25"/>
      <c r="F9" s="24"/>
      <c r="G9" s="26" t="str">
        <f t="shared" ref="G9:G13" si="0">IF(ISBLANK(E9),"CURSAR","")</f>
        <v>CURSAR</v>
      </c>
      <c r="I9" s="1" t="str">
        <f>IF(D9="C.H ","-",IF(ISBLANK(F9),"",IFERROR(F9/D9,_xlfn.IFS(
LEN(F9)=5,SUM(MID(F9,1,SEARCH("+",F9,1)-1),MID(F9,SEARCH("+",F9,1)+1,2)),
LEN(F9)=8,SUM(MID(F9,1,SEARCH("+",F9,1)-1),MID(F9,SEARCH("+",F9,1)+1,2),MID(F9,SEARCH("+",F9,SEARCH("+",F9,1)+1)+1,2)),
LEN(F9)=11,SUM(MID(F9,1,SEARCH("+",F9,1)-1),MID(F9,SEARCH("+",F9,1)+1,2),MID(F9,SEARCH("+",F9,SEARCH("+",F9,1)+1)+1,2),MID(F9,SEARCH("+",F9,SEARCH("+",F9,1)+5)+1,2)))/D9)))</f>
        <v/>
      </c>
      <c r="J9" s="1" t="str">
        <f>IF(E9="Disciplinas Cursadas ","",IF(COUNTIF($E$9:$E$54,E9)&gt;1,"Disciplina Duplicada",""))</f>
        <v/>
      </c>
    </row>
    <row r="10" spans="1:10" x14ac:dyDescent="0.35">
      <c r="B10" s="24"/>
      <c r="C10" s="27" t="s">
        <v>38</v>
      </c>
      <c r="D10" s="24">
        <v>66</v>
      </c>
      <c r="E10" s="27"/>
      <c r="F10" s="24"/>
      <c r="G10" s="26" t="str">
        <f t="shared" si="0"/>
        <v>CURSAR</v>
      </c>
      <c r="I10" s="1" t="str">
        <f>IF(D10="C.H ","-",IF(ISBLANK(F10),"",IFERROR(F10/D10,_xlfn.IFS(
LEN(F10)=5,SUM(MID(F10,1,SEARCH("+",F10,1)-1),MID(F10,SEARCH("+",F10,1)+1,2)),
LEN(F10)=8,SUM(MID(F10,1,SEARCH("+",F10,1)-1),MID(F10,SEARCH("+",F10,1)+1,2),MID(F10,SEARCH("+",F10,SEARCH("+",F10,1)+1)+1,2)),
LEN(F10)=11,SUM(MID(F10,1,SEARCH("+",F10,1)-1),MID(F10,SEARCH("+",F10,1)+1,2),MID(F10,SEARCH("+",F10,SEARCH("+",F10,1)+1)+1,2),MID(F10,SEARCH("+",F10,SEARCH("+",F10,1)+5)+1,2)))/D10)))</f>
        <v/>
      </c>
      <c r="J10" s="1"/>
    </row>
    <row r="11" spans="1:10" x14ac:dyDescent="0.35">
      <c r="B11" s="24"/>
      <c r="C11" s="27" t="s">
        <v>39</v>
      </c>
      <c r="D11" s="24">
        <v>66</v>
      </c>
      <c r="E11" s="27"/>
      <c r="F11" s="24"/>
      <c r="G11" s="26" t="str">
        <f t="shared" si="0"/>
        <v>CURSAR</v>
      </c>
      <c r="I11" s="1" t="str">
        <f>IF(D11="C.H ","-",IF(ISBLANK(F11),"",IFERROR(F11/D11,_xlfn.IFS(
LEN(F11)=5,SUM(MID(F11,1,SEARCH("+",F11,1)-1),MID(F11,SEARCH("+",F11,1)+1,2)),
LEN(F11)=8,SUM(MID(F11,1,SEARCH("+",F11,1)-1),MID(F11,SEARCH("+",F11,1)+1,2),MID(F11,SEARCH("+",F11,SEARCH("+",F11,1)+1)+1,2)),
LEN(F11)=11,SUM(MID(F11,1,SEARCH("+",F11,1)-1),MID(F11,SEARCH("+",F11,1)+1,2),MID(F11,SEARCH("+",F11,SEARCH("+",F11,1)+1)+1,2),MID(F11,SEARCH("+",F11,SEARCH("+",F11,1)+5)+1,2)))/D11)))</f>
        <v/>
      </c>
      <c r="J11" s="1" t="str">
        <f t="shared" ref="J11:J54" si="1">IF(E11="Disciplinas Cursadas ","",IF(COUNTIF($E$9:$E$54,E11)&gt;1,"Disciplina Duplicada",""))</f>
        <v/>
      </c>
    </row>
    <row r="12" spans="1:10" x14ac:dyDescent="0.35">
      <c r="B12" s="24"/>
      <c r="C12" s="25" t="s">
        <v>40</v>
      </c>
      <c r="D12" s="24">
        <v>66</v>
      </c>
      <c r="E12" s="25"/>
      <c r="F12" s="24"/>
      <c r="G12" s="26" t="str">
        <f t="shared" si="0"/>
        <v>CURSAR</v>
      </c>
      <c r="I12" s="1" t="str">
        <f t="shared" ref="I12:I55" si="2">IF(D12="C.H ","-",IF(ISBLANK(F12),"",IFERROR(F12/D12,_xlfn.IFS(
LEN(F12)=5,SUM(MID(F12,1,SEARCH("+",F12,1)-1),MID(F12,SEARCH("+",F12,1)+1,2)),
LEN(F12)=8,SUM(MID(F12,1,SEARCH("+",F12,1)-1),MID(F12,SEARCH("+",F12,1)+1,2),MID(F12,SEARCH("+",F12,SEARCH("+",F12,1)+1)+1,2)),
LEN(F12)=11,SUM(MID(F12,1,SEARCH("+",F12,1)-1),MID(F12,SEARCH("+",F12,1)+1,2),MID(F12,SEARCH("+",F12,SEARCH("+",F12,1)+1)+1,2),MID(F12,SEARCH("+",F12,SEARCH("+",F12,1)+5)+1,2)))/D12)))</f>
        <v/>
      </c>
      <c r="J12" s="1" t="str">
        <f t="shared" si="1"/>
        <v/>
      </c>
    </row>
    <row r="13" spans="1:10" x14ac:dyDescent="0.35">
      <c r="B13" s="24"/>
      <c r="C13" s="25" t="s">
        <v>41</v>
      </c>
      <c r="D13" s="24">
        <v>66</v>
      </c>
      <c r="E13" s="25"/>
      <c r="F13" s="24"/>
      <c r="G13" s="26" t="str">
        <f t="shared" si="0"/>
        <v>CURSAR</v>
      </c>
      <c r="I13" s="1" t="str">
        <f t="shared" si="2"/>
        <v/>
      </c>
      <c r="J13" s="1" t="str">
        <f t="shared" si="1"/>
        <v/>
      </c>
    </row>
    <row r="14" spans="1:10" x14ac:dyDescent="0.35">
      <c r="B14" s="22" t="s">
        <v>4</v>
      </c>
      <c r="C14" s="23" t="s">
        <v>42</v>
      </c>
      <c r="D14" s="28" t="s">
        <v>6</v>
      </c>
      <c r="E14" s="22" t="s">
        <v>7</v>
      </c>
      <c r="F14" s="22" t="s">
        <v>8</v>
      </c>
      <c r="G14" s="22" t="s">
        <v>9</v>
      </c>
      <c r="I14" s="1" t="str">
        <f t="shared" si="2"/>
        <v>-</v>
      </c>
      <c r="J14" s="1" t="str">
        <f t="shared" si="1"/>
        <v/>
      </c>
    </row>
    <row r="15" spans="1:10" x14ac:dyDescent="0.35">
      <c r="B15" s="24" t="s">
        <v>10</v>
      </c>
      <c r="C15" s="27" t="s">
        <v>43</v>
      </c>
      <c r="D15" s="29">
        <v>66</v>
      </c>
      <c r="E15" s="27"/>
      <c r="F15" s="25"/>
      <c r="G15" s="26" t="str">
        <f>IF(ISBLANK(E15),"CURSAR","")</f>
        <v>CURSAR</v>
      </c>
      <c r="I15" s="1" t="str">
        <f t="shared" si="2"/>
        <v/>
      </c>
      <c r="J15" s="1" t="str">
        <f t="shared" si="1"/>
        <v/>
      </c>
    </row>
    <row r="16" spans="1:10" x14ac:dyDescent="0.35">
      <c r="B16" s="24"/>
      <c r="C16" s="27" t="s">
        <v>44</v>
      </c>
      <c r="D16" s="29">
        <v>66</v>
      </c>
      <c r="E16" s="30"/>
      <c r="F16" s="29"/>
      <c r="G16" s="26" t="str">
        <f t="shared" ref="G16:G23" si="3">IF(ISBLANK(E16),"CURSAR","")</f>
        <v>CURSAR</v>
      </c>
      <c r="I16" s="1" t="str">
        <f t="shared" si="2"/>
        <v/>
      </c>
      <c r="J16" s="1" t="str">
        <f t="shared" si="1"/>
        <v/>
      </c>
    </row>
    <row r="17" spans="2:10" x14ac:dyDescent="0.35">
      <c r="B17" s="24"/>
      <c r="C17" s="27" t="s">
        <v>45</v>
      </c>
      <c r="D17" s="29">
        <v>88</v>
      </c>
      <c r="E17" s="27"/>
      <c r="F17" s="29"/>
      <c r="G17" s="26" t="str">
        <f t="shared" si="3"/>
        <v>CURSAR</v>
      </c>
      <c r="I17" s="1" t="str">
        <f t="shared" si="2"/>
        <v/>
      </c>
      <c r="J17" s="1" t="str">
        <f t="shared" si="1"/>
        <v/>
      </c>
    </row>
    <row r="18" spans="2:10" x14ac:dyDescent="0.35">
      <c r="B18" s="24"/>
      <c r="C18" s="25" t="s">
        <v>46</v>
      </c>
      <c r="D18" s="29">
        <v>66</v>
      </c>
      <c r="E18" s="25"/>
      <c r="F18" s="29"/>
      <c r="G18" s="26" t="str">
        <f t="shared" si="3"/>
        <v>CURSAR</v>
      </c>
      <c r="I18" s="1" t="str">
        <f t="shared" si="2"/>
        <v/>
      </c>
      <c r="J18" s="1" t="str">
        <f t="shared" si="1"/>
        <v/>
      </c>
    </row>
    <row r="19" spans="2:10" x14ac:dyDescent="0.35">
      <c r="B19" s="24"/>
      <c r="C19" s="25" t="s">
        <v>47</v>
      </c>
      <c r="D19" s="29">
        <v>66</v>
      </c>
      <c r="E19" s="25"/>
      <c r="F19" s="29"/>
      <c r="G19" s="26" t="str">
        <f t="shared" si="3"/>
        <v>CURSAR</v>
      </c>
      <c r="I19" s="1" t="str">
        <f t="shared" si="2"/>
        <v/>
      </c>
      <c r="J19" s="1" t="str">
        <f t="shared" si="1"/>
        <v/>
      </c>
    </row>
    <row r="20" spans="2:10" x14ac:dyDescent="0.35">
      <c r="B20" s="22" t="s">
        <v>4</v>
      </c>
      <c r="C20" s="23" t="s">
        <v>48</v>
      </c>
      <c r="D20" s="28" t="s">
        <v>6</v>
      </c>
      <c r="E20" s="22" t="s">
        <v>7</v>
      </c>
      <c r="F20" s="22" t="s">
        <v>8</v>
      </c>
      <c r="G20" s="22" t="s">
        <v>9</v>
      </c>
      <c r="I20" s="1" t="str">
        <f t="shared" si="2"/>
        <v>-</v>
      </c>
      <c r="J20" s="1" t="str">
        <f t="shared" si="1"/>
        <v/>
      </c>
    </row>
    <row r="21" spans="2:10" x14ac:dyDescent="0.35">
      <c r="B21" s="24" t="s">
        <v>10</v>
      </c>
      <c r="C21" s="25" t="s">
        <v>49</v>
      </c>
      <c r="D21" s="29">
        <v>66</v>
      </c>
      <c r="E21" s="25"/>
      <c r="F21" s="29"/>
      <c r="G21" s="26" t="str">
        <f t="shared" si="3"/>
        <v>CURSAR</v>
      </c>
      <c r="I21" s="1" t="str">
        <f t="shared" si="2"/>
        <v/>
      </c>
      <c r="J21" s="1" t="str">
        <f t="shared" si="1"/>
        <v/>
      </c>
    </row>
    <row r="22" spans="2:10" x14ac:dyDescent="0.35">
      <c r="B22" s="24"/>
      <c r="C22" s="25" t="s">
        <v>50</v>
      </c>
      <c r="D22" s="29">
        <v>88</v>
      </c>
      <c r="E22" s="25"/>
      <c r="F22" s="29"/>
      <c r="G22" s="26" t="str">
        <f t="shared" si="3"/>
        <v>CURSAR</v>
      </c>
      <c r="I22" s="1" t="str">
        <f t="shared" si="2"/>
        <v/>
      </c>
      <c r="J22" s="1" t="str">
        <f t="shared" si="1"/>
        <v/>
      </c>
    </row>
    <row r="23" spans="2:10" x14ac:dyDescent="0.35">
      <c r="B23" s="24"/>
      <c r="C23" s="25" t="s">
        <v>51</v>
      </c>
      <c r="D23" s="29">
        <v>66</v>
      </c>
      <c r="E23" s="25"/>
      <c r="F23" s="29"/>
      <c r="G23" s="26" t="str">
        <f t="shared" si="3"/>
        <v>CURSAR</v>
      </c>
      <c r="I23" s="1" t="str">
        <f t="shared" si="2"/>
        <v/>
      </c>
      <c r="J23" s="1" t="str">
        <f t="shared" si="1"/>
        <v/>
      </c>
    </row>
    <row r="24" spans="2:10" x14ac:dyDescent="0.35">
      <c r="B24" s="24"/>
      <c r="C24" s="25" t="s">
        <v>52</v>
      </c>
      <c r="D24" s="29">
        <v>66</v>
      </c>
      <c r="E24" s="31"/>
      <c r="F24" s="29"/>
      <c r="G24" s="26" t="str">
        <f>IF(ISBLANK(E24),"CURSAR","")</f>
        <v>CURSAR</v>
      </c>
      <c r="I24" s="1" t="str">
        <f t="shared" si="2"/>
        <v/>
      </c>
      <c r="J24" s="1" t="str">
        <f>IF(E24="Disciplinas Cursadas ","",IF(COUNTIF($E$9:$E$54,E24)&gt;1,"Disciplina Duplicada",""))</f>
        <v/>
      </c>
    </row>
    <row r="25" spans="2:10" x14ac:dyDescent="0.35">
      <c r="B25" s="24"/>
      <c r="C25" s="25" t="s">
        <v>53</v>
      </c>
      <c r="D25" s="29">
        <v>66</v>
      </c>
      <c r="E25" s="25"/>
      <c r="F25" s="29"/>
      <c r="G25" s="26" t="str">
        <f>IF(ISBLANK(E25),"CURSAR","")</f>
        <v>CURSAR</v>
      </c>
      <c r="I25" s="1" t="str">
        <f t="shared" si="2"/>
        <v/>
      </c>
      <c r="J25" s="1" t="str">
        <f>IF(E25="Disciplinas Cursadas ","",IF(COUNTIF($E$9:$E$54,E25)&gt;1,"Disciplina Duplicada",""))</f>
        <v/>
      </c>
    </row>
    <row r="26" spans="2:10" x14ac:dyDescent="0.35">
      <c r="B26" s="22" t="s">
        <v>4</v>
      </c>
      <c r="C26" s="23" t="s">
        <v>54</v>
      </c>
      <c r="D26" s="22" t="s">
        <v>6</v>
      </c>
      <c r="E26" s="23" t="s">
        <v>7</v>
      </c>
      <c r="F26" s="22" t="s">
        <v>8</v>
      </c>
      <c r="G26" s="22" t="s">
        <v>9</v>
      </c>
      <c r="I26" s="1" t="str">
        <f t="shared" si="2"/>
        <v>-</v>
      </c>
      <c r="J26" s="1" t="str">
        <f t="shared" si="1"/>
        <v/>
      </c>
    </row>
    <row r="27" spans="2:10" x14ac:dyDescent="0.35">
      <c r="B27" s="32" t="s">
        <v>10</v>
      </c>
      <c r="C27" s="32" t="s">
        <v>55</v>
      </c>
      <c r="D27" s="24">
        <v>66</v>
      </c>
      <c r="E27" s="32"/>
      <c r="F27" s="24"/>
      <c r="G27" s="26" t="str">
        <f t="shared" ref="G27:G31" si="4">IF(ISBLANK(E27),"CURSAR","")</f>
        <v>CURSAR</v>
      </c>
      <c r="I27" s="1" t="str">
        <f t="shared" si="2"/>
        <v/>
      </c>
      <c r="J27" s="1" t="str">
        <f t="shared" si="1"/>
        <v/>
      </c>
    </row>
    <row r="28" spans="2:10" x14ac:dyDescent="0.35">
      <c r="B28" s="32"/>
      <c r="C28" s="33" t="s">
        <v>56</v>
      </c>
      <c r="D28" s="32">
        <v>66</v>
      </c>
      <c r="E28" s="33"/>
      <c r="F28" s="32"/>
      <c r="G28" s="26" t="str">
        <f t="shared" si="4"/>
        <v>CURSAR</v>
      </c>
      <c r="I28" s="1" t="str">
        <f t="shared" si="2"/>
        <v/>
      </c>
      <c r="J28" s="1" t="str">
        <f t="shared" si="1"/>
        <v/>
      </c>
    </row>
    <row r="29" spans="2:10" x14ac:dyDescent="0.35">
      <c r="B29" s="32"/>
      <c r="C29" s="32" t="s">
        <v>57</v>
      </c>
      <c r="D29" s="32">
        <v>88</v>
      </c>
      <c r="E29" s="32"/>
      <c r="F29" s="32"/>
      <c r="G29" s="26" t="str">
        <f t="shared" si="4"/>
        <v>CURSAR</v>
      </c>
      <c r="I29" s="1" t="str">
        <f t="shared" si="2"/>
        <v/>
      </c>
      <c r="J29" s="1" t="str">
        <f t="shared" si="1"/>
        <v/>
      </c>
    </row>
    <row r="30" spans="2:10" x14ac:dyDescent="0.35">
      <c r="B30" s="32"/>
      <c r="C30" s="32" t="s">
        <v>58</v>
      </c>
      <c r="D30" s="32">
        <v>66</v>
      </c>
      <c r="E30" s="32"/>
      <c r="F30" s="32"/>
      <c r="G30" s="26" t="str">
        <f t="shared" si="4"/>
        <v>CURSAR</v>
      </c>
      <c r="I30" s="1" t="str">
        <f t="shared" si="2"/>
        <v/>
      </c>
      <c r="J30" s="1" t="str">
        <f t="shared" si="1"/>
        <v/>
      </c>
    </row>
    <row r="31" spans="2:10" x14ac:dyDescent="0.35">
      <c r="B31" s="32"/>
      <c r="C31" s="33" t="s">
        <v>59</v>
      </c>
      <c r="D31" s="32">
        <v>66</v>
      </c>
      <c r="E31" s="32"/>
      <c r="F31" s="32"/>
      <c r="G31" s="26" t="str">
        <f t="shared" si="4"/>
        <v>CURSAR</v>
      </c>
      <c r="I31" s="1" t="str">
        <f t="shared" si="2"/>
        <v/>
      </c>
      <c r="J31" s="1" t="str">
        <f t="shared" si="1"/>
        <v/>
      </c>
    </row>
    <row r="32" spans="2:10" x14ac:dyDescent="0.35">
      <c r="B32" s="22" t="s">
        <v>4</v>
      </c>
      <c r="C32" s="23" t="s">
        <v>60</v>
      </c>
      <c r="D32" s="22" t="s">
        <v>6</v>
      </c>
      <c r="E32" s="22" t="s">
        <v>7</v>
      </c>
      <c r="F32" s="22" t="s">
        <v>8</v>
      </c>
      <c r="G32" s="22" t="s">
        <v>9</v>
      </c>
      <c r="I32" s="1" t="str">
        <f t="shared" si="2"/>
        <v>-</v>
      </c>
      <c r="J32" s="1" t="str">
        <f t="shared" si="1"/>
        <v/>
      </c>
    </row>
    <row r="33" spans="2:10" x14ac:dyDescent="0.35">
      <c r="B33" s="32"/>
      <c r="C33" s="32" t="s">
        <v>61</v>
      </c>
      <c r="D33" s="32">
        <v>66</v>
      </c>
      <c r="E33" s="32"/>
      <c r="F33" s="32"/>
      <c r="G33" s="26" t="str">
        <f t="shared" ref="G33:G43" si="5">IF(ISBLANK(E33),"CURSAR","")</f>
        <v>CURSAR</v>
      </c>
      <c r="I33" s="1" t="str">
        <f t="shared" si="2"/>
        <v/>
      </c>
      <c r="J33" s="1" t="str">
        <f t="shared" si="1"/>
        <v/>
      </c>
    </row>
    <row r="34" spans="2:10" x14ac:dyDescent="0.35">
      <c r="B34" s="32"/>
      <c r="C34" s="32" t="s">
        <v>62</v>
      </c>
      <c r="D34" s="32">
        <v>66</v>
      </c>
      <c r="E34" s="32"/>
      <c r="F34" s="32"/>
      <c r="G34" s="26" t="str">
        <f t="shared" si="5"/>
        <v>CURSAR</v>
      </c>
      <c r="I34" s="1" t="str">
        <f t="shared" si="2"/>
        <v/>
      </c>
      <c r="J34" s="1" t="str">
        <f t="shared" si="1"/>
        <v/>
      </c>
    </row>
    <row r="35" spans="2:10" x14ac:dyDescent="0.35">
      <c r="B35" s="32"/>
      <c r="C35" s="32" t="s">
        <v>63</v>
      </c>
      <c r="D35" s="32">
        <v>88</v>
      </c>
      <c r="E35" s="32"/>
      <c r="F35" s="32"/>
      <c r="G35" s="26" t="str">
        <f t="shared" si="5"/>
        <v>CURSAR</v>
      </c>
      <c r="I35" s="1" t="str">
        <f t="shared" si="2"/>
        <v/>
      </c>
      <c r="J35" s="1" t="str">
        <f t="shared" si="1"/>
        <v/>
      </c>
    </row>
    <row r="36" spans="2:10" x14ac:dyDescent="0.35">
      <c r="B36" s="32"/>
      <c r="C36" s="32" t="s">
        <v>64</v>
      </c>
      <c r="D36" s="32">
        <v>66</v>
      </c>
      <c r="E36" s="32"/>
      <c r="F36" s="32"/>
      <c r="G36" s="26" t="str">
        <f t="shared" si="5"/>
        <v>CURSAR</v>
      </c>
      <c r="I36" s="1" t="str">
        <f t="shared" si="2"/>
        <v/>
      </c>
      <c r="J36" s="1" t="str">
        <f t="shared" si="1"/>
        <v/>
      </c>
    </row>
    <row r="37" spans="2:10" x14ac:dyDescent="0.35">
      <c r="B37" s="32"/>
      <c r="C37" s="32" t="s">
        <v>65</v>
      </c>
      <c r="D37" s="32">
        <v>66</v>
      </c>
      <c r="E37" s="32"/>
      <c r="F37" s="32"/>
      <c r="G37" s="26" t="str">
        <f t="shared" si="5"/>
        <v>CURSAR</v>
      </c>
      <c r="I37" s="1" t="str">
        <f t="shared" si="2"/>
        <v/>
      </c>
      <c r="J37" s="1" t="str">
        <f t="shared" si="1"/>
        <v/>
      </c>
    </row>
    <row r="38" spans="2:10" x14ac:dyDescent="0.35">
      <c r="B38" s="22" t="s">
        <v>4</v>
      </c>
      <c r="C38" s="23" t="s">
        <v>66</v>
      </c>
      <c r="D38" s="22" t="s">
        <v>6</v>
      </c>
      <c r="E38" s="22" t="s">
        <v>7</v>
      </c>
      <c r="F38" s="22" t="s">
        <v>8</v>
      </c>
      <c r="G38" s="22" t="s">
        <v>9</v>
      </c>
      <c r="I38" s="1" t="str">
        <f t="shared" si="2"/>
        <v>-</v>
      </c>
      <c r="J38" s="1" t="str">
        <f t="shared" si="1"/>
        <v/>
      </c>
    </row>
    <row r="39" spans="2:10" x14ac:dyDescent="0.35">
      <c r="B39" s="32"/>
      <c r="C39" s="32" t="s">
        <v>67</v>
      </c>
      <c r="D39" s="32">
        <v>88</v>
      </c>
      <c r="E39" s="32"/>
      <c r="F39" s="32"/>
      <c r="G39" s="26" t="str">
        <f t="shared" si="5"/>
        <v>CURSAR</v>
      </c>
      <c r="I39" s="1" t="str">
        <f t="shared" si="2"/>
        <v/>
      </c>
      <c r="J39" s="1" t="str">
        <f t="shared" si="1"/>
        <v/>
      </c>
    </row>
    <row r="40" spans="2:10" x14ac:dyDescent="0.35">
      <c r="B40" s="32"/>
      <c r="C40" s="32" t="s">
        <v>68</v>
      </c>
      <c r="D40" s="32">
        <v>66</v>
      </c>
      <c r="E40" s="32"/>
      <c r="F40" s="32"/>
      <c r="G40" s="26" t="str">
        <f t="shared" si="5"/>
        <v>CURSAR</v>
      </c>
      <c r="I40" s="1" t="str">
        <f t="shared" si="2"/>
        <v/>
      </c>
      <c r="J40" s="1" t="str">
        <f t="shared" si="1"/>
        <v/>
      </c>
    </row>
    <row r="41" spans="2:10" x14ac:dyDescent="0.35">
      <c r="B41" s="32"/>
      <c r="C41" s="32" t="s">
        <v>69</v>
      </c>
      <c r="D41" s="32">
        <v>66</v>
      </c>
      <c r="E41" s="32"/>
      <c r="F41" s="32"/>
      <c r="G41" s="26" t="str">
        <f t="shared" si="5"/>
        <v>CURSAR</v>
      </c>
      <c r="I41" s="1" t="str">
        <f t="shared" si="2"/>
        <v/>
      </c>
      <c r="J41" s="1" t="str">
        <f t="shared" si="1"/>
        <v/>
      </c>
    </row>
    <row r="42" spans="2:10" x14ac:dyDescent="0.35">
      <c r="B42" s="32"/>
      <c r="C42" s="33" t="s">
        <v>70</v>
      </c>
      <c r="D42" s="32">
        <v>33</v>
      </c>
      <c r="F42" s="32"/>
      <c r="G42" s="26" t="str">
        <f t="shared" si="5"/>
        <v>CURSAR</v>
      </c>
      <c r="I42" s="1" t="str">
        <f t="shared" si="2"/>
        <v/>
      </c>
      <c r="J42" s="1" t="str">
        <f t="shared" si="1"/>
        <v/>
      </c>
    </row>
    <row r="43" spans="2:10" x14ac:dyDescent="0.35">
      <c r="B43" s="32"/>
      <c r="C43" s="32" t="s">
        <v>71</v>
      </c>
      <c r="D43" s="32">
        <v>132</v>
      </c>
      <c r="E43" s="32"/>
      <c r="F43" s="32"/>
      <c r="G43" s="26" t="str">
        <f t="shared" si="5"/>
        <v>CURSAR</v>
      </c>
      <c r="I43" s="1" t="str">
        <f t="shared" si="2"/>
        <v/>
      </c>
      <c r="J43" s="1" t="str">
        <f t="shared" si="1"/>
        <v/>
      </c>
    </row>
    <row r="44" spans="2:10" x14ac:dyDescent="0.35">
      <c r="B44" s="22" t="s">
        <v>4</v>
      </c>
      <c r="C44" s="23" t="s">
        <v>72</v>
      </c>
      <c r="D44" s="22" t="s">
        <v>6</v>
      </c>
      <c r="E44" s="22" t="s">
        <v>7</v>
      </c>
      <c r="F44" s="22" t="s">
        <v>8</v>
      </c>
      <c r="G44" s="22" t="s">
        <v>9</v>
      </c>
      <c r="I44" s="1" t="str">
        <f t="shared" si="2"/>
        <v>-</v>
      </c>
      <c r="J44" s="1" t="str">
        <f t="shared" si="1"/>
        <v/>
      </c>
    </row>
    <row r="45" spans="2:10" x14ac:dyDescent="0.35">
      <c r="B45" s="32"/>
      <c r="C45" s="32" t="s">
        <v>73</v>
      </c>
      <c r="D45" s="32">
        <v>66</v>
      </c>
      <c r="E45" s="32"/>
      <c r="F45" s="32"/>
      <c r="G45" s="26" t="str">
        <f t="shared" ref="G45:G49" si="6">IF(ISBLANK(E45),"CURSAR","")</f>
        <v>CURSAR</v>
      </c>
      <c r="I45" s="1" t="str">
        <f t="shared" si="2"/>
        <v/>
      </c>
      <c r="J45" s="1" t="str">
        <f t="shared" si="1"/>
        <v/>
      </c>
    </row>
    <row r="46" spans="2:10" x14ac:dyDescent="0.35">
      <c r="B46" s="32"/>
      <c r="C46" s="33" t="s">
        <v>74</v>
      </c>
      <c r="D46" s="32">
        <v>33</v>
      </c>
      <c r="E46" s="32"/>
      <c r="F46" s="32"/>
      <c r="G46" s="26" t="str">
        <f t="shared" si="6"/>
        <v>CURSAR</v>
      </c>
      <c r="I46" s="1" t="str">
        <f t="shared" si="2"/>
        <v/>
      </c>
      <c r="J46" s="1" t="str">
        <f t="shared" si="1"/>
        <v/>
      </c>
    </row>
    <row r="47" spans="2:10" x14ac:dyDescent="0.35">
      <c r="B47" s="32"/>
      <c r="C47" s="32" t="s">
        <v>75</v>
      </c>
      <c r="D47" s="32">
        <v>66</v>
      </c>
      <c r="E47" s="32"/>
      <c r="F47" s="32"/>
      <c r="G47" s="26" t="str">
        <f t="shared" si="6"/>
        <v>CURSAR</v>
      </c>
      <c r="I47" s="1" t="str">
        <f t="shared" si="2"/>
        <v/>
      </c>
      <c r="J47" s="1" t="str">
        <f t="shared" si="1"/>
        <v/>
      </c>
    </row>
    <row r="48" spans="2:10" x14ac:dyDescent="0.35">
      <c r="B48" s="32"/>
      <c r="C48" s="32" t="s">
        <v>76</v>
      </c>
      <c r="D48" s="32">
        <v>66</v>
      </c>
      <c r="E48" s="32"/>
      <c r="F48" s="26"/>
      <c r="G48" s="26" t="str">
        <f t="shared" si="6"/>
        <v>CURSAR</v>
      </c>
      <c r="I48" s="1" t="str">
        <f t="shared" si="2"/>
        <v/>
      </c>
      <c r="J48" s="1" t="str">
        <f t="shared" si="1"/>
        <v/>
      </c>
    </row>
    <row r="49" spans="2:10" x14ac:dyDescent="0.35">
      <c r="B49" s="32"/>
      <c r="C49" s="32" t="s">
        <v>77</v>
      </c>
      <c r="D49" s="32">
        <v>132</v>
      </c>
      <c r="E49" s="32"/>
      <c r="F49" s="32"/>
      <c r="G49" s="26" t="str">
        <f t="shared" si="6"/>
        <v>CURSAR</v>
      </c>
      <c r="I49" s="1" t="str">
        <f t="shared" si="2"/>
        <v/>
      </c>
      <c r="J49" s="1" t="str">
        <f t="shared" si="1"/>
        <v/>
      </c>
    </row>
    <row r="50" spans="2:10" x14ac:dyDescent="0.35">
      <c r="B50" s="22" t="s">
        <v>4</v>
      </c>
      <c r="C50" s="23" t="s">
        <v>78</v>
      </c>
      <c r="D50" s="22" t="s">
        <v>6</v>
      </c>
      <c r="E50" s="22" t="s">
        <v>7</v>
      </c>
      <c r="F50" s="22" t="s">
        <v>8</v>
      </c>
      <c r="G50" s="22" t="s">
        <v>9</v>
      </c>
      <c r="I50" s="1" t="str">
        <f t="shared" si="2"/>
        <v>-</v>
      </c>
      <c r="J50" s="1" t="str">
        <f t="shared" si="1"/>
        <v/>
      </c>
    </row>
    <row r="51" spans="2:10" x14ac:dyDescent="0.35">
      <c r="B51" s="32"/>
      <c r="C51" s="32" t="s">
        <v>79</v>
      </c>
      <c r="D51" s="32">
        <v>33</v>
      </c>
      <c r="E51" s="32"/>
      <c r="F51" s="32"/>
      <c r="G51" s="26" t="str">
        <f t="shared" ref="G51:G54" si="7">IF(ISBLANK(E51),"CURSAR","")</f>
        <v>CURSAR</v>
      </c>
      <c r="I51" s="1" t="str">
        <f t="shared" si="2"/>
        <v/>
      </c>
      <c r="J51" s="1" t="str">
        <f t="shared" si="1"/>
        <v/>
      </c>
    </row>
    <row r="52" spans="2:10" x14ac:dyDescent="0.35">
      <c r="B52" s="32"/>
      <c r="C52" s="32" t="s">
        <v>80</v>
      </c>
      <c r="D52" s="32">
        <v>66</v>
      </c>
      <c r="E52" s="33"/>
      <c r="F52" s="34"/>
      <c r="G52" s="26" t="str">
        <f t="shared" si="7"/>
        <v>CURSAR</v>
      </c>
      <c r="I52" s="1" t="str">
        <f t="shared" si="2"/>
        <v/>
      </c>
      <c r="J52" s="1" t="str">
        <f t="shared" si="1"/>
        <v/>
      </c>
    </row>
    <row r="53" spans="2:10" x14ac:dyDescent="0.35">
      <c r="B53" s="32"/>
      <c r="C53" s="32" t="s">
        <v>81</v>
      </c>
      <c r="D53" s="32">
        <v>132</v>
      </c>
      <c r="E53" s="32"/>
      <c r="F53" s="32"/>
      <c r="G53" s="26" t="str">
        <f t="shared" si="7"/>
        <v>CURSAR</v>
      </c>
      <c r="I53" s="1" t="str">
        <f t="shared" si="2"/>
        <v/>
      </c>
      <c r="J53" s="1" t="str">
        <f t="shared" si="1"/>
        <v/>
      </c>
    </row>
    <row r="54" spans="2:10" x14ac:dyDescent="0.35">
      <c r="B54" s="32"/>
      <c r="C54" s="32" t="s">
        <v>82</v>
      </c>
      <c r="D54" s="32">
        <v>66</v>
      </c>
      <c r="E54" s="32"/>
      <c r="F54" s="32"/>
      <c r="G54" s="26" t="str">
        <f t="shared" si="7"/>
        <v>CURSAR</v>
      </c>
      <c r="I54" s="1" t="str">
        <f t="shared" si="2"/>
        <v/>
      </c>
      <c r="J54" s="1" t="str">
        <f t="shared" si="1"/>
        <v/>
      </c>
    </row>
    <row r="55" spans="2:10" x14ac:dyDescent="0.35">
      <c r="B55" s="107"/>
      <c r="C55" s="107"/>
      <c r="D55" s="107"/>
      <c r="E55" s="107"/>
      <c r="F55" s="107"/>
      <c r="G55" s="107"/>
      <c r="I55" s="1" t="str">
        <f t="shared" si="2"/>
        <v/>
      </c>
    </row>
    <row r="56" spans="2:10" x14ac:dyDescent="0.35">
      <c r="B56" s="3"/>
      <c r="E56" s="5" t="s">
        <v>31</v>
      </c>
      <c r="G56" s="4"/>
    </row>
    <row r="57" spans="2:10" x14ac:dyDescent="0.35">
      <c r="B57" s="78" t="str">
        <f>CONCATENATE("Segue análise curricular atualizada. Aproveitamento de estudos com base no Histórico da ",$J$2," do curso ",$J$4,". O estudante deve ser matriculado no ",$J$5,"º semestre do curso de ADMINISTRAÇÃO.  Atenciosamente, Acadêmico")</f>
        <v>Segue análise curricular atualizada. Aproveitamento de estudos com base no Histórico da  do curso . O estudante deve ser matriculado no º semestre do curso de ADMINISTRAÇÃO.  Atenciosamente, Acadêmico</v>
      </c>
      <c r="C57" s="79"/>
      <c r="D57" s="79"/>
      <c r="E57" s="79"/>
      <c r="F57" s="79"/>
      <c r="G57" s="80"/>
    </row>
    <row r="58" spans="2:10" x14ac:dyDescent="0.35">
      <c r="B58" s="81"/>
      <c r="C58" s="82"/>
      <c r="D58" s="82"/>
      <c r="E58" s="82"/>
      <c r="F58" s="82"/>
      <c r="G58" s="83"/>
    </row>
    <row r="59" spans="2:10" x14ac:dyDescent="0.35">
      <c r="B59" s="84"/>
      <c r="C59" s="85"/>
      <c r="D59" s="85"/>
      <c r="E59" s="85"/>
      <c r="F59" s="85"/>
      <c r="G59" s="86"/>
    </row>
    <row r="60" spans="2:10" x14ac:dyDescent="0.35">
      <c r="B60" s="3"/>
      <c r="G60" s="4"/>
    </row>
    <row r="61" spans="2:10" x14ac:dyDescent="0.35">
      <c r="B61" s="35" t="s">
        <v>32</v>
      </c>
      <c r="C61" s="36">
        <f ca="1">TODAY()</f>
        <v>45135</v>
      </c>
      <c r="E61" s="87" t="s">
        <v>83</v>
      </c>
      <c r="F61" s="87"/>
      <c r="G61" s="88"/>
    </row>
    <row r="62" spans="2:10" x14ac:dyDescent="0.35">
      <c r="B62" s="37"/>
      <c r="C62" s="38"/>
      <c r="G62" s="4"/>
    </row>
    <row r="63" spans="2:10" x14ac:dyDescent="0.35">
      <c r="B63" s="89" t="s">
        <v>84</v>
      </c>
      <c r="C63" s="90"/>
      <c r="D63" s="90"/>
      <c r="E63" s="90"/>
      <c r="F63" s="90"/>
      <c r="G63" s="91"/>
    </row>
  </sheetData>
  <mergeCells count="8">
    <mergeCell ref="I8:J8"/>
    <mergeCell ref="B55:G55"/>
    <mergeCell ref="B57:G59"/>
    <mergeCell ref="E61:G61"/>
    <mergeCell ref="B63:G63"/>
    <mergeCell ref="B2:G4"/>
    <mergeCell ref="B5:G5"/>
    <mergeCell ref="C6:G6"/>
  </mergeCells>
  <conditionalFormatting sqref="I9:I55">
    <cfRule type="cellIs" dxfId="7" priority="2" operator="lessThan">
      <formula>0.75</formula>
    </cfRule>
  </conditionalFormatting>
  <conditionalFormatting sqref="J9:J54">
    <cfRule type="containsText" dxfId="6" priority="1" operator="containsText" text="Duplicada">
      <formula>NOT(ISERROR(SEARCH("Duplicada",J9)))</formula>
    </cfRule>
  </conditionalFormatting>
  <pageMargins left="0.7" right="0.7" top="0.75" bottom="0.75" header="0.3" footer="0.3"/>
  <pageSetup paperSize="9" scale="44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5131" r:id="rId4" name="TXTSEM">
          <controlPr defaultSize="0" autoLine="0" autoPict="0" r:id="rId5">
            <anchor moveWithCells="1">
              <from>
                <xdr:col>9</xdr:col>
                <xdr:colOff>438150</xdr:colOff>
                <xdr:row>4</xdr:row>
                <xdr:rowOff>171450</xdr:rowOff>
              </from>
              <to>
                <xdr:col>13</xdr:col>
                <xdr:colOff>425450</xdr:colOff>
                <xdr:row>6</xdr:row>
                <xdr:rowOff>38100</xdr:rowOff>
              </to>
            </anchor>
          </controlPr>
        </control>
      </mc:Choice>
      <mc:Fallback>
        <control shapeId="5131" r:id="rId4" name="TXTSEM"/>
      </mc:Fallback>
    </mc:AlternateContent>
    <mc:AlternateContent xmlns:mc="http://schemas.openxmlformats.org/markup-compatibility/2006">
      <mc:Choice Requires="x14">
        <control shapeId="5130" r:id="rId6" name="TXTCURSO">
          <controlPr defaultSize="0" autoLine="0" autoPict="0" r:id="rId7">
            <anchor moveWithCells="1">
              <from>
                <xdr:col>9</xdr:col>
                <xdr:colOff>438150</xdr:colOff>
                <xdr:row>3</xdr:row>
                <xdr:rowOff>355600</xdr:rowOff>
              </from>
              <to>
                <xdr:col>13</xdr:col>
                <xdr:colOff>425450</xdr:colOff>
                <xdr:row>4</xdr:row>
                <xdr:rowOff>69850</xdr:rowOff>
              </to>
            </anchor>
          </controlPr>
        </control>
      </mc:Choice>
      <mc:Fallback>
        <control shapeId="5130" r:id="rId6" name="TXTCURSO"/>
      </mc:Fallback>
    </mc:AlternateContent>
    <mc:AlternateContent xmlns:mc="http://schemas.openxmlformats.org/markup-compatibility/2006">
      <mc:Choice Requires="x14">
        <control shapeId="5129" r:id="rId8" name="TXTIES">
          <controlPr defaultSize="0" autoLine="0" autoPict="0" r:id="rId5">
            <anchor moveWithCells="1">
              <from>
                <xdr:col>9</xdr:col>
                <xdr:colOff>450850</xdr:colOff>
                <xdr:row>3</xdr:row>
                <xdr:rowOff>12700</xdr:rowOff>
              </from>
              <to>
                <xdr:col>13</xdr:col>
                <xdr:colOff>438150</xdr:colOff>
                <xdr:row>3</xdr:row>
                <xdr:rowOff>254000</xdr:rowOff>
              </to>
            </anchor>
          </controlPr>
        </control>
      </mc:Choice>
      <mc:Fallback>
        <control shapeId="5129" r:id="rId8" name="TXTIES"/>
      </mc:Fallback>
    </mc:AlternateContent>
    <mc:AlternateContent xmlns:mc="http://schemas.openxmlformats.org/markup-compatibility/2006">
      <mc:Choice Requires="x14">
        <control shapeId="5128" r:id="rId9" name="CBXReanáliseDisp">
          <controlPr defaultSize="0" autoLine="0" r:id="rId10">
            <anchor moveWithCells="1">
              <from>
                <xdr:col>5</xdr:col>
                <xdr:colOff>0</xdr:colOff>
                <xdr:row>6</xdr:row>
                <xdr:rowOff>114300</xdr:rowOff>
              </from>
              <to>
                <xdr:col>6</xdr:col>
                <xdr:colOff>450850</xdr:colOff>
                <xdr:row>6</xdr:row>
                <xdr:rowOff>476250</xdr:rowOff>
              </to>
            </anchor>
          </controlPr>
        </control>
      </mc:Choice>
      <mc:Fallback>
        <control shapeId="5128" r:id="rId9" name="CBXReanáliseDisp"/>
      </mc:Fallback>
    </mc:AlternateContent>
    <mc:AlternateContent xmlns:mc="http://schemas.openxmlformats.org/markup-compatibility/2006">
      <mc:Choice Requires="x14">
        <control shapeId="5127" r:id="rId11" name="CBXTransfdeCurso">
          <controlPr defaultSize="0" autoLine="0" r:id="rId12">
            <anchor moveWithCells="1">
              <from>
                <xdr:col>2</xdr:col>
                <xdr:colOff>1708150</xdr:colOff>
                <xdr:row>6</xdr:row>
                <xdr:rowOff>114300</xdr:rowOff>
              </from>
              <to>
                <xdr:col>2</xdr:col>
                <xdr:colOff>2717800</xdr:colOff>
                <xdr:row>6</xdr:row>
                <xdr:rowOff>476250</xdr:rowOff>
              </to>
            </anchor>
          </controlPr>
        </control>
      </mc:Choice>
      <mc:Fallback>
        <control shapeId="5127" r:id="rId11" name="CBXTransfdeCurso"/>
      </mc:Fallback>
    </mc:AlternateContent>
    <mc:AlternateContent xmlns:mc="http://schemas.openxmlformats.org/markup-compatibility/2006">
      <mc:Choice Requires="x14">
        <control shapeId="5126" r:id="rId13" name="CBXDispdeDisciplina">
          <controlPr defaultSize="0" autoLine="0" r:id="rId14">
            <anchor moveWithCells="1">
              <from>
                <xdr:col>4</xdr:col>
                <xdr:colOff>2190750</xdr:colOff>
                <xdr:row>6</xdr:row>
                <xdr:rowOff>114300</xdr:rowOff>
              </from>
              <to>
                <xdr:col>4</xdr:col>
                <xdr:colOff>3200400</xdr:colOff>
                <xdr:row>6</xdr:row>
                <xdr:rowOff>476250</xdr:rowOff>
              </to>
            </anchor>
          </controlPr>
        </control>
      </mc:Choice>
      <mc:Fallback>
        <control shapeId="5126" r:id="rId13" name="CBXDispdeDisciplina"/>
      </mc:Fallback>
    </mc:AlternateContent>
    <mc:AlternateContent xmlns:mc="http://schemas.openxmlformats.org/markup-compatibility/2006">
      <mc:Choice Requires="x14">
        <control shapeId="5125" r:id="rId15" name="CBXPortdeDiploma">
          <controlPr defaultSize="0" autoLine="0" r:id="rId16">
            <anchor moveWithCells="1">
              <from>
                <xdr:col>4</xdr:col>
                <xdr:colOff>1352550</xdr:colOff>
                <xdr:row>6</xdr:row>
                <xdr:rowOff>114300</xdr:rowOff>
              </from>
              <to>
                <xdr:col>4</xdr:col>
                <xdr:colOff>2298700</xdr:colOff>
                <xdr:row>6</xdr:row>
                <xdr:rowOff>476250</xdr:rowOff>
              </to>
            </anchor>
          </controlPr>
        </control>
      </mc:Choice>
      <mc:Fallback>
        <control shapeId="5125" r:id="rId15" name="CBXPortdeDiploma"/>
      </mc:Fallback>
    </mc:AlternateContent>
    <mc:AlternateContent xmlns:mc="http://schemas.openxmlformats.org/markup-compatibility/2006">
      <mc:Choice Requires="x14">
        <control shapeId="5124" r:id="rId17" name="CBXReanalisedeReingresso">
          <controlPr defaultSize="0" autoLine="0" r:id="rId18">
            <anchor moveWithCells="1">
              <from>
                <xdr:col>4</xdr:col>
                <xdr:colOff>165100</xdr:colOff>
                <xdr:row>6</xdr:row>
                <xdr:rowOff>114300</xdr:rowOff>
              </from>
              <to>
                <xdr:col>4</xdr:col>
                <xdr:colOff>1174750</xdr:colOff>
                <xdr:row>6</xdr:row>
                <xdr:rowOff>476250</xdr:rowOff>
              </to>
            </anchor>
          </controlPr>
        </control>
      </mc:Choice>
      <mc:Fallback>
        <control shapeId="5124" r:id="rId17" name="CBXReanalisedeReingresso"/>
      </mc:Fallback>
    </mc:AlternateContent>
    <mc:AlternateContent xmlns:mc="http://schemas.openxmlformats.org/markup-compatibility/2006">
      <mc:Choice Requires="x14">
        <control shapeId="5123" r:id="rId19" name="CBXReingressoReabertura">
          <controlPr defaultSize="0" autoLine="0" r:id="rId20">
            <anchor moveWithCells="1">
              <from>
                <xdr:col>2</xdr:col>
                <xdr:colOff>2762250</xdr:colOff>
                <xdr:row>6</xdr:row>
                <xdr:rowOff>114300</xdr:rowOff>
              </from>
              <to>
                <xdr:col>4</xdr:col>
                <xdr:colOff>127000</xdr:colOff>
                <xdr:row>6</xdr:row>
                <xdr:rowOff>476250</xdr:rowOff>
              </to>
            </anchor>
          </controlPr>
        </control>
      </mc:Choice>
      <mc:Fallback>
        <control shapeId="5123" r:id="rId19" name="CBXReingressoReabertura"/>
      </mc:Fallback>
    </mc:AlternateContent>
    <mc:AlternateContent xmlns:mc="http://schemas.openxmlformats.org/markup-compatibility/2006">
      <mc:Choice Requires="x14">
        <control shapeId="5122" r:id="rId21" name="CBXTransfInterna">
          <controlPr defaultSize="0" autoLine="0" r:id="rId22">
            <anchor moveWithCells="1">
              <from>
                <xdr:col>2</xdr:col>
                <xdr:colOff>800100</xdr:colOff>
                <xdr:row>6</xdr:row>
                <xdr:rowOff>114300</xdr:rowOff>
              </from>
              <to>
                <xdr:col>2</xdr:col>
                <xdr:colOff>1809750</xdr:colOff>
                <xdr:row>6</xdr:row>
                <xdr:rowOff>476250</xdr:rowOff>
              </to>
            </anchor>
          </controlPr>
        </control>
      </mc:Choice>
      <mc:Fallback>
        <control shapeId="5122" r:id="rId21" name="CBXTransfInterna"/>
      </mc:Fallback>
    </mc:AlternateContent>
    <mc:AlternateContent xmlns:mc="http://schemas.openxmlformats.org/markup-compatibility/2006">
      <mc:Choice Requires="x14">
        <control shapeId="5121" r:id="rId23" name="CBXTransfExterna">
          <controlPr defaultSize="0" autoLine="0" r:id="rId24">
            <anchor moveWithCells="1">
              <from>
                <xdr:col>1</xdr:col>
                <xdr:colOff>171450</xdr:colOff>
                <xdr:row>6</xdr:row>
                <xdr:rowOff>114300</xdr:rowOff>
              </from>
              <to>
                <xdr:col>2</xdr:col>
                <xdr:colOff>742950</xdr:colOff>
                <xdr:row>6</xdr:row>
                <xdr:rowOff>476250</xdr:rowOff>
              </to>
            </anchor>
          </controlPr>
        </control>
      </mc:Choice>
      <mc:Fallback>
        <control shapeId="5121" r:id="rId23" name="CBXTransfExtern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B6940-D03A-4299-9183-0C73BC6FBDB8}">
  <sheetPr codeName="Planilha2">
    <tabColor rgb="FFFF0000"/>
    <pageSetUpPr fitToPage="1"/>
  </sheetPr>
  <dimension ref="A2:J64"/>
  <sheetViews>
    <sheetView showGridLines="0" showRowColHeaders="0" zoomScale="95" zoomScaleNormal="95" workbookViewId="0"/>
  </sheetViews>
  <sheetFormatPr defaultRowHeight="14.5" x14ac:dyDescent="0.35"/>
  <cols>
    <col min="1" max="1" width="2.81640625" customWidth="1"/>
    <col min="2" max="2" width="6.54296875" customWidth="1"/>
    <col min="3" max="3" width="50.1796875" customWidth="1"/>
    <col min="4" max="4" width="4.54296875" customWidth="1"/>
    <col min="5" max="5" width="49.26953125" customWidth="1"/>
    <col min="6" max="6" width="8.453125" customWidth="1"/>
    <col min="7" max="7" width="9.7265625" customWidth="1"/>
    <col min="8" max="8" width="2.54296875" customWidth="1"/>
    <col min="10" max="10" width="18.81640625" customWidth="1"/>
  </cols>
  <sheetData>
    <row r="2" spans="1:10" ht="15" customHeight="1" x14ac:dyDescent="0.35">
      <c r="B2" s="92" t="s">
        <v>85</v>
      </c>
      <c r="C2" s="93"/>
      <c r="D2" s="93"/>
      <c r="E2" s="93"/>
      <c r="F2" s="93"/>
      <c r="G2" s="94"/>
    </row>
    <row r="3" spans="1:10" ht="41.25" customHeight="1" x14ac:dyDescent="0.35">
      <c r="A3" s="2"/>
      <c r="B3" s="98"/>
      <c r="C3" s="99"/>
      <c r="D3" s="99"/>
      <c r="E3" s="99"/>
      <c r="F3" s="99"/>
      <c r="G3" s="100"/>
    </row>
    <row r="4" spans="1:10" ht="15" customHeight="1" x14ac:dyDescent="0.35">
      <c r="B4" s="101"/>
      <c r="C4" s="102"/>
      <c r="D4" s="102"/>
      <c r="E4" s="102"/>
      <c r="F4" s="102"/>
      <c r="G4" s="103"/>
    </row>
    <row r="5" spans="1:10" x14ac:dyDescent="0.35">
      <c r="B5" s="21" t="s">
        <v>3</v>
      </c>
      <c r="C5" s="104"/>
      <c r="D5" s="104"/>
      <c r="E5" s="104"/>
      <c r="F5" s="104"/>
      <c r="G5" s="105"/>
    </row>
    <row r="6" spans="1:10" ht="51.75" customHeight="1" x14ac:dyDescent="0.35">
      <c r="B6" s="3"/>
      <c r="G6" s="4"/>
    </row>
    <row r="7" spans="1:10" ht="15" customHeight="1" x14ac:dyDescent="0.35">
      <c r="B7" s="22" t="s">
        <v>4</v>
      </c>
      <c r="C7" s="23" t="s">
        <v>35</v>
      </c>
      <c r="D7" s="22" t="s">
        <v>6</v>
      </c>
      <c r="E7" s="22" t="s">
        <v>7</v>
      </c>
      <c r="F7" s="22" t="s">
        <v>8</v>
      </c>
      <c r="G7" s="22" t="s">
        <v>9</v>
      </c>
      <c r="I7" s="106" t="s">
        <v>36</v>
      </c>
      <c r="J7" s="106"/>
    </row>
    <row r="8" spans="1:10" x14ac:dyDescent="0.35">
      <c r="B8" s="24"/>
      <c r="C8" s="25" t="s">
        <v>38</v>
      </c>
      <c r="D8" s="32">
        <v>66</v>
      </c>
      <c r="E8" s="39"/>
      <c r="F8" s="26"/>
      <c r="G8" s="26" t="str">
        <f t="shared" ref="G8:G12" si="0">IF(ISBLANK(E8),"CURSAR","")</f>
        <v>CURSAR</v>
      </c>
      <c r="I8" s="1" t="str">
        <f>IF(D8="C.H ","-",IF(ISBLANK(F8),"",IFERROR(F8/D8,_xlfn.IFS(
LEN(F8)=5,SUM(MID(F8,1,SEARCH("+",F8,1)-1),MID(F8,SEARCH("+",F8,1)+1,2)),
LEN(F8)=8,SUM(MID(F8,1,SEARCH("+",F8,1)-1),MID(F8,SEARCH("+",F8,1)+1,2),MID(F8,SEARCH("+",F8,SEARCH("+",F8,1)+1)+1,2)),
LEN(F8)=11,SUM(MID(F8,1,SEARCH("+",F8,1)-1),MID(F8,SEARCH("+",F8,1)+1,2),MID(F8,SEARCH("+",F8,SEARCH("+",F8,1)+1)+1,2),MID(F8,SEARCH("+",F8,SEARCH("+",F8,1)+5)+1,2)))/D8)))</f>
        <v/>
      </c>
      <c r="J8" s="1" t="str">
        <f>IF(E8="Disciplinas Cursadas ","",IF(COUNTIF($E$8:$E$55,E8)&gt;1,"Disciplina Duplicada",""))</f>
        <v/>
      </c>
    </row>
    <row r="9" spans="1:10" x14ac:dyDescent="0.35">
      <c r="B9" s="24"/>
      <c r="C9" s="27" t="s">
        <v>37</v>
      </c>
      <c r="D9" s="32">
        <v>88</v>
      </c>
      <c r="E9" s="39"/>
      <c r="F9" s="26"/>
      <c r="G9" s="26" t="str">
        <f t="shared" si="0"/>
        <v>CURSAR</v>
      </c>
      <c r="I9" s="1" t="str">
        <f>IF(D9="C.H ","-",IF(ISBLANK(F9),"",IFERROR(F9/D9,_xlfn.IFS(
LEN(F9)=5,SUM(MID(F9,1,SEARCH("+",F9,1)-1),MID(F9,SEARCH("+",F9,1)+1,2)),
LEN(F9)=8,SUM(MID(F9,1,SEARCH("+",F9,1)-1),MID(F9,SEARCH("+",F9,1)+1,2),MID(F9,SEARCH("+",F9,SEARCH("+",F9,1)+1)+1,2)),
LEN(F9)=11,SUM(MID(F9,1,SEARCH("+",F9,1)-1),MID(F9,SEARCH("+",F9,1)+1,2),MID(F9,SEARCH("+",F9,SEARCH("+",F9,1)+1)+1,2),MID(F9,SEARCH("+",F9,SEARCH("+",F9,1)+5)+1,2)))/D9)))</f>
        <v/>
      </c>
      <c r="J9" s="1"/>
    </row>
    <row r="10" spans="1:10" x14ac:dyDescent="0.35">
      <c r="B10" s="24"/>
      <c r="C10" s="27" t="s">
        <v>86</v>
      </c>
      <c r="D10" s="32">
        <v>66</v>
      </c>
      <c r="E10" s="39"/>
      <c r="F10" s="26"/>
      <c r="G10" s="26" t="str">
        <f t="shared" si="0"/>
        <v>CURSAR</v>
      </c>
      <c r="I10" s="1" t="str">
        <f>IF(D10="C.H ","-",IF(ISBLANK(F10),"",IFERROR(F10/D10,_xlfn.IFS(
LEN(F10)=5,SUM(MID(F10,1,SEARCH("+",F10,1)-1),MID(F10,SEARCH("+",F10,1)+1,2)),
LEN(F10)=8,SUM(MID(F10,1,SEARCH("+",F10,1)-1),MID(F10,SEARCH("+",F10,1)+1,2),MID(F10,SEARCH("+",F10,SEARCH("+",F10,1)+1)+1,2)),
LEN(F10)=11,SUM(MID(F10,1,SEARCH("+",F10,1)-1),MID(F10,SEARCH("+",F10,1)+1,2),MID(F10,SEARCH("+",F10,SEARCH("+",F10,1)+1)+1,2),MID(F10,SEARCH("+",F10,SEARCH("+",F10,1)+5)+1,2)))/D10)))</f>
        <v/>
      </c>
      <c r="J10" s="1" t="str">
        <f t="shared" ref="J10:J55" si="1">IF(E10="Disciplinas Cursadas ","",IF(COUNTIF($E$8:$E$55,E10)&gt;1,"Disciplina Duplicada",""))</f>
        <v/>
      </c>
    </row>
    <row r="11" spans="1:10" x14ac:dyDescent="0.35">
      <c r="B11" s="24"/>
      <c r="C11" s="25" t="s">
        <v>87</v>
      </c>
      <c r="D11" s="32">
        <v>66</v>
      </c>
      <c r="E11" s="39"/>
      <c r="F11" s="26"/>
      <c r="G11" s="26" t="str">
        <f t="shared" si="0"/>
        <v>CURSAR</v>
      </c>
      <c r="I11" s="1" t="str">
        <f t="shared" ref="I11:I59" si="2">IF(D11="C.H ","-",IF(ISBLANK(F11),"",IFERROR(F11/D11,_xlfn.IFS(
LEN(F11)=5,SUM(MID(F11,1,SEARCH("+",F11,1)-1),MID(F11,SEARCH("+",F11,1)+1,2)),
LEN(F11)=8,SUM(MID(F11,1,SEARCH("+",F11,1)-1),MID(F11,SEARCH("+",F11,1)+1,2),MID(F11,SEARCH("+",F11,SEARCH("+",F11,1)+1)+1,2)),
LEN(F11)=11,SUM(MID(F11,1,SEARCH("+",F11,1)-1),MID(F11,SEARCH("+",F11,1)+1,2),MID(F11,SEARCH("+",F11,SEARCH("+",F11,1)+1)+1,2),MID(F11,SEARCH("+",F11,SEARCH("+",F11,1)+5)+1,2)))/D11)))</f>
        <v/>
      </c>
      <c r="J11" s="1" t="str">
        <f t="shared" si="1"/>
        <v/>
      </c>
    </row>
    <row r="12" spans="1:10" x14ac:dyDescent="0.35">
      <c r="B12" s="24"/>
      <c r="C12" s="25" t="s">
        <v>43</v>
      </c>
      <c r="D12" s="32">
        <v>66</v>
      </c>
      <c r="E12" s="39"/>
      <c r="F12" s="26"/>
      <c r="G12" s="26" t="str">
        <f t="shared" si="0"/>
        <v>CURSAR</v>
      </c>
      <c r="I12" s="1" t="str">
        <f t="shared" si="2"/>
        <v/>
      </c>
      <c r="J12" s="1" t="str">
        <f t="shared" si="1"/>
        <v/>
      </c>
    </row>
    <row r="13" spans="1:10" x14ac:dyDescent="0.35">
      <c r="B13" s="22" t="s">
        <v>4</v>
      </c>
      <c r="C13" s="23" t="s">
        <v>42</v>
      </c>
      <c r="D13" s="22" t="s">
        <v>6</v>
      </c>
      <c r="E13" s="22" t="s">
        <v>7</v>
      </c>
      <c r="F13" s="22" t="s">
        <v>8</v>
      </c>
      <c r="G13" s="22" t="s">
        <v>9</v>
      </c>
      <c r="I13" s="1" t="str">
        <f t="shared" si="2"/>
        <v>-</v>
      </c>
      <c r="J13" s="1" t="str">
        <f t="shared" si="1"/>
        <v/>
      </c>
    </row>
    <row r="14" spans="1:10" x14ac:dyDescent="0.35">
      <c r="B14" s="24" t="s">
        <v>10</v>
      </c>
      <c r="C14" s="27" t="s">
        <v>40</v>
      </c>
      <c r="D14" s="25">
        <v>66</v>
      </c>
      <c r="E14" s="39"/>
      <c r="F14" s="19"/>
      <c r="G14" s="26" t="str">
        <f>IF(ISBLANK(E14),"CURSAR","")</f>
        <v>CURSAR</v>
      </c>
      <c r="I14" s="1" t="str">
        <f t="shared" si="2"/>
        <v/>
      </c>
      <c r="J14" s="1" t="str">
        <f t="shared" si="1"/>
        <v/>
      </c>
    </row>
    <row r="15" spans="1:10" x14ac:dyDescent="0.35">
      <c r="B15" s="24"/>
      <c r="C15" s="27" t="s">
        <v>88</v>
      </c>
      <c r="D15" s="29">
        <v>66</v>
      </c>
      <c r="E15" s="40"/>
      <c r="F15" s="25"/>
      <c r="G15" s="26" t="str">
        <f t="shared" ref="G15:G24" si="3">IF(ISBLANK(E15),"CURSAR","")</f>
        <v>CURSAR</v>
      </c>
      <c r="I15" s="1" t="str">
        <f t="shared" si="2"/>
        <v/>
      </c>
      <c r="J15" s="1" t="str">
        <f t="shared" si="1"/>
        <v/>
      </c>
    </row>
    <row r="16" spans="1:10" x14ac:dyDescent="0.35">
      <c r="B16" s="24"/>
      <c r="C16" s="27" t="s">
        <v>44</v>
      </c>
      <c r="D16" s="29">
        <v>66</v>
      </c>
      <c r="E16" s="41"/>
      <c r="F16" s="26"/>
      <c r="G16" s="26" t="str">
        <f t="shared" si="3"/>
        <v>CURSAR</v>
      </c>
      <c r="I16" s="1" t="str">
        <f t="shared" si="2"/>
        <v/>
      </c>
      <c r="J16" s="1" t="str">
        <f t="shared" si="1"/>
        <v/>
      </c>
    </row>
    <row r="17" spans="2:10" x14ac:dyDescent="0.35">
      <c r="B17" s="24"/>
      <c r="C17" s="25" t="s">
        <v>89</v>
      </c>
      <c r="D17" s="25">
        <v>66</v>
      </c>
      <c r="E17" s="42"/>
      <c r="F17" s="20"/>
      <c r="G17" s="26" t="str">
        <f t="shared" si="3"/>
        <v>CURSAR</v>
      </c>
      <c r="I17" s="1" t="str">
        <f t="shared" si="2"/>
        <v/>
      </c>
      <c r="J17" s="1" t="str">
        <f t="shared" si="1"/>
        <v/>
      </c>
    </row>
    <row r="18" spans="2:10" x14ac:dyDescent="0.35">
      <c r="B18" s="24"/>
      <c r="C18" s="25" t="s">
        <v>45</v>
      </c>
      <c r="D18" s="25">
        <v>88</v>
      </c>
      <c r="E18" s="43"/>
      <c r="F18" s="26"/>
      <c r="G18" s="26" t="str">
        <f t="shared" si="3"/>
        <v>CURSAR</v>
      </c>
      <c r="I18" s="1" t="str">
        <f t="shared" si="2"/>
        <v/>
      </c>
      <c r="J18" s="1" t="str">
        <f t="shared" si="1"/>
        <v/>
      </c>
    </row>
    <row r="19" spans="2:10" x14ac:dyDescent="0.35">
      <c r="B19" s="22" t="s">
        <v>4</v>
      </c>
      <c r="C19" s="23" t="s">
        <v>48</v>
      </c>
      <c r="D19" s="22" t="s">
        <v>6</v>
      </c>
      <c r="E19" s="22" t="s">
        <v>7</v>
      </c>
      <c r="F19" s="22" t="s">
        <v>8</v>
      </c>
      <c r="G19" s="22" t="s">
        <v>9</v>
      </c>
      <c r="I19" s="1" t="str">
        <f t="shared" si="2"/>
        <v>-</v>
      </c>
      <c r="J19" s="1" t="str">
        <f t="shared" si="1"/>
        <v/>
      </c>
    </row>
    <row r="20" spans="2:10" x14ac:dyDescent="0.35">
      <c r="B20" s="24" t="s">
        <v>10</v>
      </c>
      <c r="C20" s="25" t="s">
        <v>58</v>
      </c>
      <c r="D20" s="25">
        <v>66</v>
      </c>
      <c r="F20" s="26"/>
      <c r="G20" s="26" t="str">
        <f t="shared" si="3"/>
        <v>CURSAR</v>
      </c>
      <c r="I20" s="1" t="str">
        <f t="shared" si="2"/>
        <v/>
      </c>
      <c r="J20" s="1" t="str">
        <f t="shared" si="1"/>
        <v/>
      </c>
    </row>
    <row r="21" spans="2:10" x14ac:dyDescent="0.35">
      <c r="B21" s="24"/>
      <c r="C21" s="25" t="s">
        <v>90</v>
      </c>
      <c r="D21" s="25">
        <v>66</v>
      </c>
      <c r="E21" s="44"/>
      <c r="F21" s="26"/>
      <c r="G21" s="26" t="str">
        <f t="shared" si="3"/>
        <v>CURSAR</v>
      </c>
      <c r="I21" s="1" t="str">
        <f t="shared" si="2"/>
        <v/>
      </c>
      <c r="J21" s="1" t="str">
        <f t="shared" si="1"/>
        <v/>
      </c>
    </row>
    <row r="22" spans="2:10" x14ac:dyDescent="0.35">
      <c r="B22" s="24"/>
      <c r="C22" s="25" t="s">
        <v>91</v>
      </c>
      <c r="D22" s="25">
        <v>66</v>
      </c>
      <c r="E22" s="44"/>
      <c r="F22" s="26"/>
      <c r="G22" s="26" t="str">
        <f t="shared" si="3"/>
        <v>CURSAR</v>
      </c>
      <c r="I22" s="1" t="str">
        <f t="shared" si="2"/>
        <v/>
      </c>
      <c r="J22" s="1" t="str">
        <f t="shared" si="1"/>
        <v/>
      </c>
    </row>
    <row r="23" spans="2:10" x14ac:dyDescent="0.35">
      <c r="B23" s="24"/>
      <c r="C23" s="25" t="s">
        <v>92</v>
      </c>
      <c r="D23" s="25">
        <v>66</v>
      </c>
      <c r="E23" s="44"/>
      <c r="F23" s="26"/>
      <c r="G23" s="26" t="str">
        <f t="shared" si="3"/>
        <v>CURSAR</v>
      </c>
      <c r="I23" s="1" t="str">
        <f t="shared" si="2"/>
        <v/>
      </c>
      <c r="J23" s="1" t="str">
        <f t="shared" si="1"/>
        <v/>
      </c>
    </row>
    <row r="24" spans="2:10" x14ac:dyDescent="0.35">
      <c r="B24" s="24"/>
      <c r="C24" s="25" t="s">
        <v>50</v>
      </c>
      <c r="D24" s="25">
        <v>88</v>
      </c>
      <c r="F24" s="26"/>
      <c r="G24" s="26" t="str">
        <f t="shared" si="3"/>
        <v>CURSAR</v>
      </c>
      <c r="I24" s="1" t="str">
        <f t="shared" si="2"/>
        <v/>
      </c>
      <c r="J24" s="1" t="str">
        <f t="shared" si="1"/>
        <v/>
      </c>
    </row>
    <row r="25" spans="2:10" x14ac:dyDescent="0.35">
      <c r="B25" s="22" t="s">
        <v>4</v>
      </c>
      <c r="C25" s="23" t="s">
        <v>54</v>
      </c>
      <c r="D25" s="22" t="s">
        <v>6</v>
      </c>
      <c r="E25" s="22" t="s">
        <v>7</v>
      </c>
      <c r="F25" s="22" t="s">
        <v>8</v>
      </c>
      <c r="G25" s="22" t="s">
        <v>9</v>
      </c>
      <c r="I25" s="1" t="str">
        <f t="shared" si="2"/>
        <v>-</v>
      </c>
      <c r="J25" s="1" t="str">
        <f t="shared" si="1"/>
        <v/>
      </c>
    </row>
    <row r="26" spans="2:10" x14ac:dyDescent="0.35">
      <c r="B26" s="32" t="s">
        <v>10</v>
      </c>
      <c r="C26" s="32" t="s">
        <v>93</v>
      </c>
      <c r="D26" s="32">
        <v>66</v>
      </c>
      <c r="E26" s="32"/>
      <c r="F26" s="26"/>
      <c r="G26" s="26" t="str">
        <f t="shared" ref="G26:G30" si="4">IF(ISBLANK(E26),"CURSAR","")</f>
        <v>CURSAR</v>
      </c>
      <c r="I26" s="1" t="str">
        <f t="shared" si="2"/>
        <v/>
      </c>
      <c r="J26" s="1" t="str">
        <f t="shared" si="1"/>
        <v/>
      </c>
    </row>
    <row r="27" spans="2:10" x14ac:dyDescent="0.35">
      <c r="B27" s="32"/>
      <c r="C27" s="33" t="s">
        <v>94</v>
      </c>
      <c r="D27" s="32">
        <v>66</v>
      </c>
      <c r="E27" s="32"/>
      <c r="F27" s="26"/>
      <c r="G27" s="26" t="str">
        <f t="shared" si="4"/>
        <v>CURSAR</v>
      </c>
      <c r="I27" s="1" t="str">
        <f t="shared" si="2"/>
        <v/>
      </c>
      <c r="J27" s="1" t="str">
        <f t="shared" si="1"/>
        <v/>
      </c>
    </row>
    <row r="28" spans="2:10" x14ac:dyDescent="0.35">
      <c r="B28" s="32"/>
      <c r="C28" s="32" t="s">
        <v>56</v>
      </c>
      <c r="D28" s="32">
        <v>66</v>
      </c>
      <c r="E28" s="30"/>
      <c r="F28" s="26"/>
      <c r="G28" s="26" t="str">
        <f t="shared" si="4"/>
        <v>CURSAR</v>
      </c>
      <c r="I28" s="1" t="str">
        <f t="shared" si="2"/>
        <v/>
      </c>
      <c r="J28" s="1" t="str">
        <f t="shared" si="1"/>
        <v/>
      </c>
    </row>
    <row r="29" spans="2:10" x14ac:dyDescent="0.35">
      <c r="B29" s="32"/>
      <c r="C29" s="32" t="s">
        <v>95</v>
      </c>
      <c r="D29" s="32">
        <v>66</v>
      </c>
      <c r="E29" s="30"/>
      <c r="F29" s="26"/>
      <c r="G29" s="26" t="str">
        <f t="shared" si="4"/>
        <v>CURSAR</v>
      </c>
      <c r="I29" s="1" t="str">
        <f t="shared" si="2"/>
        <v/>
      </c>
      <c r="J29" s="1" t="str">
        <f t="shared" si="1"/>
        <v/>
      </c>
    </row>
    <row r="30" spans="2:10" x14ac:dyDescent="0.35">
      <c r="B30" s="32"/>
      <c r="C30" s="32" t="s">
        <v>57</v>
      </c>
      <c r="D30" s="32">
        <v>88</v>
      </c>
      <c r="E30" s="32"/>
      <c r="F30" s="26"/>
      <c r="G30" s="26" t="str">
        <f t="shared" si="4"/>
        <v>CURSAR</v>
      </c>
      <c r="I30" s="1" t="str">
        <f t="shared" si="2"/>
        <v/>
      </c>
      <c r="J30" s="1" t="str">
        <f t="shared" si="1"/>
        <v/>
      </c>
    </row>
    <row r="31" spans="2:10" x14ac:dyDescent="0.35">
      <c r="B31" s="22" t="s">
        <v>4</v>
      </c>
      <c r="C31" s="23" t="s">
        <v>60</v>
      </c>
      <c r="D31" s="22" t="s">
        <v>6</v>
      </c>
      <c r="E31" s="22" t="s">
        <v>7</v>
      </c>
      <c r="F31" s="22" t="s">
        <v>8</v>
      </c>
      <c r="G31" s="22" t="s">
        <v>9</v>
      </c>
      <c r="I31" s="1" t="str">
        <f t="shared" si="2"/>
        <v>-</v>
      </c>
      <c r="J31" s="1" t="str">
        <f t="shared" si="1"/>
        <v/>
      </c>
    </row>
    <row r="32" spans="2:10" x14ac:dyDescent="0.35">
      <c r="B32" s="32"/>
      <c r="C32" s="32" t="s">
        <v>61</v>
      </c>
      <c r="D32" s="32">
        <v>66</v>
      </c>
      <c r="E32" s="32"/>
      <c r="F32" s="26"/>
      <c r="G32" s="26" t="str">
        <f t="shared" ref="G32:G43" si="5">IF(ISBLANK(E32),"CURSAR","")</f>
        <v>CURSAR</v>
      </c>
      <c r="I32" s="1" t="str">
        <f t="shared" si="2"/>
        <v/>
      </c>
      <c r="J32" s="1" t="str">
        <f t="shared" si="1"/>
        <v/>
      </c>
    </row>
    <row r="33" spans="2:10" x14ac:dyDescent="0.35">
      <c r="B33" s="32"/>
      <c r="C33" s="32" t="s">
        <v>96</v>
      </c>
      <c r="D33" s="32">
        <v>66</v>
      </c>
      <c r="E33" s="32"/>
      <c r="F33" s="26"/>
      <c r="G33" s="26" t="str">
        <f t="shared" si="5"/>
        <v>CURSAR</v>
      </c>
      <c r="I33" s="1" t="str">
        <f t="shared" si="2"/>
        <v/>
      </c>
      <c r="J33" s="1" t="str">
        <f t="shared" si="1"/>
        <v/>
      </c>
    </row>
    <row r="34" spans="2:10" x14ac:dyDescent="0.35">
      <c r="B34" s="32"/>
      <c r="C34" s="32" t="s">
        <v>97</v>
      </c>
      <c r="D34" s="32">
        <v>66</v>
      </c>
      <c r="E34" s="32"/>
      <c r="F34" s="26"/>
      <c r="G34" s="26" t="str">
        <f t="shared" si="5"/>
        <v>CURSAR</v>
      </c>
      <c r="I34" s="1" t="str">
        <f t="shared" si="2"/>
        <v/>
      </c>
      <c r="J34" s="1" t="str">
        <f t="shared" si="1"/>
        <v/>
      </c>
    </row>
    <row r="35" spans="2:10" x14ac:dyDescent="0.35">
      <c r="B35" s="32"/>
      <c r="C35" s="32" t="s">
        <v>62</v>
      </c>
      <c r="D35" s="32">
        <v>66</v>
      </c>
      <c r="E35" s="32"/>
      <c r="F35" s="26"/>
      <c r="G35" s="26" t="str">
        <f t="shared" si="5"/>
        <v>CURSAR</v>
      </c>
      <c r="I35" s="1" t="str">
        <f t="shared" si="2"/>
        <v/>
      </c>
      <c r="J35" s="1" t="str">
        <f t="shared" si="1"/>
        <v/>
      </c>
    </row>
    <row r="36" spans="2:10" x14ac:dyDescent="0.35">
      <c r="B36" s="32"/>
      <c r="C36" s="32" t="s">
        <v>63</v>
      </c>
      <c r="D36" s="32">
        <v>88</v>
      </c>
      <c r="E36" s="32"/>
      <c r="F36" s="26"/>
      <c r="G36" s="26" t="str">
        <f t="shared" si="5"/>
        <v>CURSAR</v>
      </c>
      <c r="I36" s="1" t="str">
        <f t="shared" si="2"/>
        <v/>
      </c>
      <c r="J36" s="1" t="str">
        <f t="shared" si="1"/>
        <v/>
      </c>
    </row>
    <row r="37" spans="2:10" x14ac:dyDescent="0.35">
      <c r="B37" s="22" t="s">
        <v>4</v>
      </c>
      <c r="C37" s="23" t="s">
        <v>66</v>
      </c>
      <c r="D37" s="22" t="s">
        <v>6</v>
      </c>
      <c r="E37" s="22" t="s">
        <v>7</v>
      </c>
      <c r="F37" s="22" t="s">
        <v>8</v>
      </c>
      <c r="G37" s="22" t="s">
        <v>9</v>
      </c>
      <c r="I37" s="1" t="str">
        <f t="shared" si="2"/>
        <v>-</v>
      </c>
      <c r="J37" s="1" t="str">
        <f t="shared" si="1"/>
        <v/>
      </c>
    </row>
    <row r="38" spans="2:10" x14ac:dyDescent="0.35">
      <c r="B38" s="32"/>
      <c r="C38" s="32" t="s">
        <v>98</v>
      </c>
      <c r="D38" s="32">
        <v>66</v>
      </c>
      <c r="E38" s="32"/>
      <c r="F38" s="26"/>
      <c r="G38" s="26" t="str">
        <f t="shared" si="5"/>
        <v>CURSAR</v>
      </c>
      <c r="I38" s="1" t="str">
        <f t="shared" si="2"/>
        <v/>
      </c>
      <c r="J38" s="1" t="str">
        <f t="shared" si="1"/>
        <v/>
      </c>
    </row>
    <row r="39" spans="2:10" x14ac:dyDescent="0.35">
      <c r="B39" s="32"/>
      <c r="C39" s="32" t="s">
        <v>99</v>
      </c>
      <c r="D39" s="32">
        <v>33</v>
      </c>
      <c r="E39" s="32"/>
      <c r="F39" s="26"/>
      <c r="G39" s="26" t="str">
        <f t="shared" si="5"/>
        <v>CURSAR</v>
      </c>
      <c r="I39" s="1" t="str">
        <f t="shared" si="2"/>
        <v/>
      </c>
      <c r="J39" s="1" t="str">
        <f t="shared" si="1"/>
        <v/>
      </c>
    </row>
    <row r="40" spans="2:10" x14ac:dyDescent="0.35">
      <c r="B40" s="32"/>
      <c r="C40" s="32" t="s">
        <v>100</v>
      </c>
      <c r="D40" s="32">
        <v>77</v>
      </c>
      <c r="E40" s="32"/>
      <c r="F40" s="26"/>
      <c r="G40" s="26" t="str">
        <f t="shared" si="5"/>
        <v>CURSAR</v>
      </c>
      <c r="I40" s="1" t="str">
        <f t="shared" si="2"/>
        <v/>
      </c>
      <c r="J40" s="1"/>
    </row>
    <row r="41" spans="2:10" x14ac:dyDescent="0.35">
      <c r="B41" s="32"/>
      <c r="C41" s="33" t="s">
        <v>69</v>
      </c>
      <c r="D41" s="32">
        <v>66</v>
      </c>
      <c r="E41" s="32"/>
      <c r="F41" s="26"/>
      <c r="G41" s="26" t="str">
        <f t="shared" si="5"/>
        <v>CURSAR</v>
      </c>
      <c r="I41" s="1" t="str">
        <f t="shared" si="2"/>
        <v/>
      </c>
      <c r="J41" s="1" t="str">
        <f t="shared" si="1"/>
        <v/>
      </c>
    </row>
    <row r="42" spans="2:10" x14ac:dyDescent="0.35">
      <c r="B42" s="32"/>
      <c r="C42" s="33" t="s">
        <v>67</v>
      </c>
      <c r="D42" s="32">
        <v>88</v>
      </c>
      <c r="E42" s="32"/>
      <c r="F42" s="26"/>
      <c r="G42" s="26" t="str">
        <f t="shared" si="5"/>
        <v>CURSAR</v>
      </c>
      <c r="I42" s="1" t="str">
        <f t="shared" si="2"/>
        <v/>
      </c>
      <c r="J42" s="1" t="str">
        <f t="shared" si="1"/>
        <v/>
      </c>
    </row>
    <row r="43" spans="2:10" x14ac:dyDescent="0.35">
      <c r="B43" s="32"/>
      <c r="C43" s="32" t="s">
        <v>101</v>
      </c>
      <c r="D43" s="32">
        <v>66</v>
      </c>
      <c r="E43" s="32"/>
      <c r="F43" s="26"/>
      <c r="G43" s="26" t="str">
        <f t="shared" si="5"/>
        <v>CURSAR</v>
      </c>
      <c r="I43" s="1" t="str">
        <f t="shared" si="2"/>
        <v/>
      </c>
      <c r="J43" s="1" t="str">
        <f t="shared" si="1"/>
        <v/>
      </c>
    </row>
    <row r="44" spans="2:10" x14ac:dyDescent="0.35">
      <c r="B44" s="22" t="s">
        <v>4</v>
      </c>
      <c r="C44" s="23" t="s">
        <v>72</v>
      </c>
      <c r="D44" s="22" t="s">
        <v>6</v>
      </c>
      <c r="E44" s="22" t="s">
        <v>7</v>
      </c>
      <c r="F44" s="22" t="s">
        <v>8</v>
      </c>
      <c r="G44" s="22" t="s">
        <v>9</v>
      </c>
      <c r="I44" s="1" t="str">
        <f t="shared" si="2"/>
        <v>-</v>
      </c>
      <c r="J44" s="1" t="str">
        <f t="shared" si="1"/>
        <v/>
      </c>
    </row>
    <row r="45" spans="2:10" x14ac:dyDescent="0.35">
      <c r="B45" s="32"/>
      <c r="C45" s="32" t="s">
        <v>102</v>
      </c>
      <c r="D45" s="32">
        <v>66</v>
      </c>
      <c r="E45" s="32"/>
      <c r="F45" s="26"/>
      <c r="G45" s="26" t="str">
        <f t="shared" ref="G45:G49" si="6">IF(ISBLANK(E45),"CURSAR","")</f>
        <v>CURSAR</v>
      </c>
      <c r="I45" s="1" t="str">
        <f t="shared" si="2"/>
        <v/>
      </c>
      <c r="J45" s="1" t="str">
        <f t="shared" si="1"/>
        <v/>
      </c>
    </row>
    <row r="46" spans="2:10" x14ac:dyDescent="0.35">
      <c r="B46" s="32"/>
      <c r="C46" s="33" t="s">
        <v>74</v>
      </c>
      <c r="D46" s="32">
        <v>33</v>
      </c>
      <c r="E46" s="32"/>
      <c r="F46" s="26"/>
      <c r="G46" s="26" t="str">
        <f t="shared" si="6"/>
        <v>CURSAR</v>
      </c>
      <c r="I46" s="1" t="str">
        <f t="shared" si="2"/>
        <v/>
      </c>
      <c r="J46" s="1" t="str">
        <f t="shared" si="1"/>
        <v/>
      </c>
    </row>
    <row r="47" spans="2:10" x14ac:dyDescent="0.35">
      <c r="B47" s="32"/>
      <c r="C47" s="32" t="s">
        <v>103</v>
      </c>
      <c r="D47" s="32">
        <v>77</v>
      </c>
      <c r="E47" s="45"/>
      <c r="F47" s="26"/>
      <c r="G47" s="26" t="str">
        <f t="shared" si="6"/>
        <v>CURSAR</v>
      </c>
      <c r="I47" s="1" t="str">
        <f t="shared" si="2"/>
        <v/>
      </c>
      <c r="J47" s="1" t="str">
        <f t="shared" si="1"/>
        <v/>
      </c>
    </row>
    <row r="48" spans="2:10" x14ac:dyDescent="0.35">
      <c r="B48" s="32"/>
      <c r="C48" s="32" t="s">
        <v>73</v>
      </c>
      <c r="D48" s="32">
        <v>66</v>
      </c>
      <c r="E48" s="30"/>
      <c r="F48" s="26"/>
      <c r="G48" s="26" t="str">
        <f t="shared" si="6"/>
        <v>CURSAR</v>
      </c>
      <c r="I48" s="1" t="str">
        <f t="shared" si="2"/>
        <v/>
      </c>
      <c r="J48" s="1" t="str">
        <f t="shared" si="1"/>
        <v/>
      </c>
    </row>
    <row r="49" spans="2:10" x14ac:dyDescent="0.35">
      <c r="B49" s="32"/>
      <c r="C49" s="32" t="s">
        <v>104</v>
      </c>
      <c r="D49" s="32">
        <v>66</v>
      </c>
      <c r="E49" s="32"/>
      <c r="F49" s="26"/>
      <c r="G49" s="26" t="str">
        <f t="shared" si="6"/>
        <v>CURSAR</v>
      </c>
      <c r="I49" s="1" t="str">
        <f t="shared" si="2"/>
        <v/>
      </c>
      <c r="J49" s="1" t="str">
        <f t="shared" si="1"/>
        <v/>
      </c>
    </row>
    <row r="50" spans="2:10" x14ac:dyDescent="0.35">
      <c r="B50" s="22" t="s">
        <v>4</v>
      </c>
      <c r="C50" s="23" t="s">
        <v>78</v>
      </c>
      <c r="D50" s="22" t="s">
        <v>6</v>
      </c>
      <c r="E50" s="22" t="s">
        <v>7</v>
      </c>
      <c r="F50" s="22" t="s">
        <v>8</v>
      </c>
      <c r="G50" s="22" t="s">
        <v>9</v>
      </c>
      <c r="I50" s="1" t="str">
        <f t="shared" si="2"/>
        <v>-</v>
      </c>
      <c r="J50" s="1" t="str">
        <f t="shared" si="1"/>
        <v/>
      </c>
    </row>
    <row r="51" spans="2:10" x14ac:dyDescent="0.35">
      <c r="B51" s="32"/>
      <c r="C51" s="32" t="s">
        <v>105</v>
      </c>
      <c r="D51" s="32">
        <v>66</v>
      </c>
      <c r="E51" s="32"/>
      <c r="F51" s="26"/>
      <c r="G51" s="26" t="str">
        <f t="shared" ref="G51:G55" si="7">IF(ISBLANK(E51),"CURSAR","")</f>
        <v>CURSAR</v>
      </c>
      <c r="I51" s="1" t="str">
        <f t="shared" si="2"/>
        <v/>
      </c>
      <c r="J51" s="1" t="str">
        <f t="shared" si="1"/>
        <v/>
      </c>
    </row>
    <row r="52" spans="2:10" x14ac:dyDescent="0.35">
      <c r="B52" s="32"/>
      <c r="C52" s="32" t="s">
        <v>79</v>
      </c>
      <c r="D52" s="32">
        <v>33</v>
      </c>
      <c r="E52" s="30"/>
      <c r="F52" s="26"/>
      <c r="G52" s="26" t="str">
        <f t="shared" si="7"/>
        <v>CURSAR</v>
      </c>
      <c r="I52" s="1" t="str">
        <f t="shared" si="2"/>
        <v/>
      </c>
      <c r="J52" s="1" t="str">
        <f t="shared" si="1"/>
        <v/>
      </c>
    </row>
    <row r="53" spans="2:10" x14ac:dyDescent="0.35">
      <c r="B53" s="32"/>
      <c r="C53" s="32" t="s">
        <v>106</v>
      </c>
      <c r="D53" s="32">
        <v>77</v>
      </c>
      <c r="E53" s="30"/>
      <c r="F53" s="26"/>
      <c r="G53" s="26" t="str">
        <f t="shared" si="7"/>
        <v>CURSAR</v>
      </c>
      <c r="I53" s="1" t="str">
        <f t="shared" si="2"/>
        <v/>
      </c>
      <c r="J53" s="1"/>
    </row>
    <row r="54" spans="2:10" x14ac:dyDescent="0.35">
      <c r="B54" s="32"/>
      <c r="C54" s="32" t="s">
        <v>107</v>
      </c>
      <c r="D54" s="32">
        <v>66</v>
      </c>
      <c r="E54" s="32"/>
      <c r="F54" s="26"/>
      <c r="G54" s="26" t="str">
        <f t="shared" si="7"/>
        <v>CURSAR</v>
      </c>
      <c r="I54" s="1" t="str">
        <f t="shared" si="2"/>
        <v/>
      </c>
      <c r="J54" s="1" t="str">
        <f t="shared" si="1"/>
        <v/>
      </c>
    </row>
    <row r="55" spans="2:10" x14ac:dyDescent="0.35">
      <c r="B55" s="32"/>
      <c r="C55" s="32" t="s">
        <v>108</v>
      </c>
      <c r="D55" s="32">
        <v>66</v>
      </c>
      <c r="E55" s="32"/>
      <c r="F55" s="26"/>
      <c r="G55" s="26" t="str">
        <f t="shared" si="7"/>
        <v>CURSAR</v>
      </c>
      <c r="I55" s="1" t="str">
        <f t="shared" si="2"/>
        <v/>
      </c>
      <c r="J55" s="1" t="str">
        <f t="shared" si="1"/>
        <v/>
      </c>
    </row>
    <row r="56" spans="2:10" x14ac:dyDescent="0.35">
      <c r="B56" s="107" t="s">
        <v>30</v>
      </c>
      <c r="C56" s="107"/>
      <c r="D56" s="107"/>
      <c r="E56" s="107"/>
      <c r="F56" s="107"/>
      <c r="G56" s="107"/>
      <c r="I56" s="1" t="str">
        <f t="shared" si="2"/>
        <v/>
      </c>
    </row>
    <row r="57" spans="2:10" x14ac:dyDescent="0.35">
      <c r="B57" s="3"/>
      <c r="E57" s="5" t="s">
        <v>31</v>
      </c>
      <c r="G57" s="4"/>
      <c r="I57" s="1" t="str">
        <f t="shared" si="2"/>
        <v/>
      </c>
    </row>
    <row r="58" spans="2:10" x14ac:dyDescent="0.35">
      <c r="B58" s="78" t="str">
        <f>CONCATENATE("Segue análise curricular atualizada. Aproveitamento de estudos com base no Histórico da ",$J$2," do curso ",$J$3,". O estudante deve ser matriculado no ",$J$4,"º semestre do curso de ADMINISTRAÇÃO.  Atenciosamente, Acadêmico")</f>
        <v>Segue análise curricular atualizada. Aproveitamento de estudos com base no Histórico da  do curso . O estudante deve ser matriculado no º semestre do curso de ADMINISTRAÇÃO.  Atenciosamente, Acadêmico</v>
      </c>
      <c r="C58" s="79"/>
      <c r="D58" s="79"/>
      <c r="E58" s="79"/>
      <c r="F58" s="79"/>
      <c r="G58" s="80"/>
      <c r="I58" s="1" t="str">
        <f t="shared" si="2"/>
        <v/>
      </c>
    </row>
    <row r="59" spans="2:10" x14ac:dyDescent="0.35">
      <c r="B59" s="81"/>
      <c r="C59" s="82"/>
      <c r="D59" s="82"/>
      <c r="E59" s="82"/>
      <c r="F59" s="82"/>
      <c r="G59" s="83"/>
      <c r="I59" s="1" t="str">
        <f t="shared" si="2"/>
        <v/>
      </c>
    </row>
    <row r="60" spans="2:10" x14ac:dyDescent="0.35">
      <c r="B60" s="84"/>
      <c r="C60" s="85"/>
      <c r="D60" s="85"/>
      <c r="E60" s="85"/>
      <c r="F60" s="85"/>
      <c r="G60" s="86"/>
    </row>
    <row r="61" spans="2:10" x14ac:dyDescent="0.35">
      <c r="B61" s="3"/>
      <c r="G61" s="4"/>
    </row>
    <row r="62" spans="2:10" x14ac:dyDescent="0.35">
      <c r="B62" s="35" t="s">
        <v>32</v>
      </c>
      <c r="C62" s="36">
        <f ca="1">TODAY()</f>
        <v>45135</v>
      </c>
      <c r="E62" s="87" t="s">
        <v>83</v>
      </c>
      <c r="F62" s="87"/>
      <c r="G62" s="88"/>
    </row>
    <row r="63" spans="2:10" x14ac:dyDescent="0.35">
      <c r="B63" s="37"/>
      <c r="C63" s="38"/>
      <c r="G63" s="4"/>
    </row>
    <row r="64" spans="2:10" x14ac:dyDescent="0.35">
      <c r="B64" s="89" t="s">
        <v>84</v>
      </c>
      <c r="C64" s="90"/>
      <c r="D64" s="90"/>
      <c r="E64" s="90"/>
      <c r="F64" s="90"/>
      <c r="G64" s="91"/>
    </row>
  </sheetData>
  <mergeCells count="8">
    <mergeCell ref="I7:J7"/>
    <mergeCell ref="B56:G56"/>
    <mergeCell ref="B58:G60"/>
    <mergeCell ref="E62:G62"/>
    <mergeCell ref="B64:G64"/>
    <mergeCell ref="B2:G3"/>
    <mergeCell ref="B4:G4"/>
    <mergeCell ref="C5:G5"/>
  </mergeCells>
  <conditionalFormatting sqref="I8:I59">
    <cfRule type="cellIs" dxfId="5" priority="2" operator="lessThan">
      <formula>0.75</formula>
    </cfRule>
  </conditionalFormatting>
  <conditionalFormatting sqref="J8:J55">
    <cfRule type="containsText" dxfId="4" priority="1" operator="containsText" text="Duplicada">
      <formula>NOT(ISERROR(SEARCH("Duplicada",J8)))</formula>
    </cfRule>
  </conditionalFormatting>
  <pageMargins left="0.7" right="0.7" top="0.75" bottom="0.75" header="0.3" footer="0.3"/>
  <pageSetup paperSize="9" scale="44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55" r:id="rId4" name="TXTSEM">
          <controlPr defaultSize="0" autoLine="0" autoPict="0" r:id="rId5">
            <anchor moveWithCells="1">
              <from>
                <xdr:col>9</xdr:col>
                <xdr:colOff>419100</xdr:colOff>
                <xdr:row>4</xdr:row>
                <xdr:rowOff>146050</xdr:rowOff>
              </from>
              <to>
                <xdr:col>13</xdr:col>
                <xdr:colOff>412750</xdr:colOff>
                <xdr:row>5</xdr:row>
                <xdr:rowOff>190500</xdr:rowOff>
              </to>
            </anchor>
          </controlPr>
        </control>
      </mc:Choice>
      <mc:Fallback>
        <control shapeId="6155" r:id="rId4" name="TXTSEM"/>
      </mc:Fallback>
    </mc:AlternateContent>
    <mc:AlternateContent xmlns:mc="http://schemas.openxmlformats.org/markup-compatibility/2006">
      <mc:Choice Requires="x14">
        <control shapeId="6154" r:id="rId6" name="TXTCURSO">
          <controlPr defaultSize="0" autoLine="0" autoPict="0" r:id="rId5">
            <anchor moveWithCells="1">
              <from>
                <xdr:col>9</xdr:col>
                <xdr:colOff>419100</xdr:colOff>
                <xdr:row>3</xdr:row>
                <xdr:rowOff>6350</xdr:rowOff>
              </from>
              <to>
                <xdr:col>13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6154" r:id="rId6" name="TXTCURSO"/>
      </mc:Fallback>
    </mc:AlternateContent>
    <mc:AlternateContent xmlns:mc="http://schemas.openxmlformats.org/markup-compatibility/2006">
      <mc:Choice Requires="x14">
        <control shapeId="6153" r:id="rId7" name="TXTIES">
          <controlPr defaultSize="0" autoLine="0" autoPict="0" r:id="rId5">
            <anchor moveWithCells="1">
              <from>
                <xdr:col>9</xdr:col>
                <xdr:colOff>431800</xdr:colOff>
                <xdr:row>2</xdr:row>
                <xdr:rowOff>190500</xdr:rowOff>
              </from>
              <to>
                <xdr:col>13</xdr:col>
                <xdr:colOff>419100</xdr:colOff>
                <xdr:row>2</xdr:row>
                <xdr:rowOff>425450</xdr:rowOff>
              </to>
            </anchor>
          </controlPr>
        </control>
      </mc:Choice>
      <mc:Fallback>
        <control shapeId="6153" r:id="rId7" name="TXTIES"/>
      </mc:Fallback>
    </mc:AlternateContent>
    <mc:AlternateContent xmlns:mc="http://schemas.openxmlformats.org/markup-compatibility/2006">
      <mc:Choice Requires="x14">
        <control shapeId="6152" r:id="rId8" name="CBXReanáliseDisp">
          <controlPr defaultSize="0" autoLine="0" r:id="rId9">
            <anchor moveWithCells="1">
              <from>
                <xdr:col>5</xdr:col>
                <xdr:colOff>0</xdr:colOff>
                <xdr:row>5</xdr:row>
                <xdr:rowOff>114300</xdr:rowOff>
              </from>
              <to>
                <xdr:col>6</xdr:col>
                <xdr:colOff>450850</xdr:colOff>
                <xdr:row>5</xdr:row>
                <xdr:rowOff>476250</xdr:rowOff>
              </to>
            </anchor>
          </controlPr>
        </control>
      </mc:Choice>
      <mc:Fallback>
        <control shapeId="6152" r:id="rId8" name="CBXReanáliseDisp"/>
      </mc:Fallback>
    </mc:AlternateContent>
    <mc:AlternateContent xmlns:mc="http://schemas.openxmlformats.org/markup-compatibility/2006">
      <mc:Choice Requires="x14">
        <control shapeId="6151" r:id="rId10" name="CBXTransfdeCurso">
          <controlPr defaultSize="0" autoLine="0" r:id="rId11">
            <anchor moveWithCells="1">
              <from>
                <xdr:col>2</xdr:col>
                <xdr:colOff>1708150</xdr:colOff>
                <xdr:row>5</xdr:row>
                <xdr:rowOff>114300</xdr:rowOff>
              </from>
              <to>
                <xdr:col>2</xdr:col>
                <xdr:colOff>2717800</xdr:colOff>
                <xdr:row>5</xdr:row>
                <xdr:rowOff>476250</xdr:rowOff>
              </to>
            </anchor>
          </controlPr>
        </control>
      </mc:Choice>
      <mc:Fallback>
        <control shapeId="6151" r:id="rId10" name="CBXTransfdeCurso"/>
      </mc:Fallback>
    </mc:AlternateContent>
    <mc:AlternateContent xmlns:mc="http://schemas.openxmlformats.org/markup-compatibility/2006">
      <mc:Choice Requires="x14">
        <control shapeId="6150" r:id="rId12" name="CBXDispdeDisciplina">
          <controlPr defaultSize="0" autoLine="0" r:id="rId13">
            <anchor moveWithCells="1">
              <from>
                <xdr:col>4</xdr:col>
                <xdr:colOff>2190750</xdr:colOff>
                <xdr:row>5</xdr:row>
                <xdr:rowOff>114300</xdr:rowOff>
              </from>
              <to>
                <xdr:col>4</xdr:col>
                <xdr:colOff>3200400</xdr:colOff>
                <xdr:row>5</xdr:row>
                <xdr:rowOff>476250</xdr:rowOff>
              </to>
            </anchor>
          </controlPr>
        </control>
      </mc:Choice>
      <mc:Fallback>
        <control shapeId="6150" r:id="rId12" name="CBXDispdeDisciplina"/>
      </mc:Fallback>
    </mc:AlternateContent>
    <mc:AlternateContent xmlns:mc="http://schemas.openxmlformats.org/markup-compatibility/2006">
      <mc:Choice Requires="x14">
        <control shapeId="6149" r:id="rId14" name="CBXPortdeDiploma">
          <controlPr defaultSize="0" autoLine="0" r:id="rId15">
            <anchor moveWithCells="1">
              <from>
                <xdr:col>4</xdr:col>
                <xdr:colOff>1352550</xdr:colOff>
                <xdr:row>5</xdr:row>
                <xdr:rowOff>114300</xdr:rowOff>
              </from>
              <to>
                <xdr:col>4</xdr:col>
                <xdr:colOff>2298700</xdr:colOff>
                <xdr:row>5</xdr:row>
                <xdr:rowOff>476250</xdr:rowOff>
              </to>
            </anchor>
          </controlPr>
        </control>
      </mc:Choice>
      <mc:Fallback>
        <control shapeId="6149" r:id="rId14" name="CBXPortdeDiploma"/>
      </mc:Fallback>
    </mc:AlternateContent>
    <mc:AlternateContent xmlns:mc="http://schemas.openxmlformats.org/markup-compatibility/2006">
      <mc:Choice Requires="x14">
        <control shapeId="6148" r:id="rId16" name="CBXReanalisedeReingresso">
          <controlPr defaultSize="0" autoLine="0" r:id="rId17">
            <anchor moveWithCells="1">
              <from>
                <xdr:col>4</xdr:col>
                <xdr:colOff>165100</xdr:colOff>
                <xdr:row>5</xdr:row>
                <xdr:rowOff>114300</xdr:rowOff>
              </from>
              <to>
                <xdr:col>4</xdr:col>
                <xdr:colOff>1174750</xdr:colOff>
                <xdr:row>5</xdr:row>
                <xdr:rowOff>476250</xdr:rowOff>
              </to>
            </anchor>
          </controlPr>
        </control>
      </mc:Choice>
      <mc:Fallback>
        <control shapeId="6148" r:id="rId16" name="CBXReanalisedeReingresso"/>
      </mc:Fallback>
    </mc:AlternateContent>
    <mc:AlternateContent xmlns:mc="http://schemas.openxmlformats.org/markup-compatibility/2006">
      <mc:Choice Requires="x14">
        <control shapeId="6147" r:id="rId18" name="CBXReingressoReabertura">
          <controlPr defaultSize="0" autoLine="0" r:id="rId19">
            <anchor moveWithCells="1">
              <from>
                <xdr:col>2</xdr:col>
                <xdr:colOff>2762250</xdr:colOff>
                <xdr:row>5</xdr:row>
                <xdr:rowOff>114300</xdr:rowOff>
              </from>
              <to>
                <xdr:col>4</xdr:col>
                <xdr:colOff>127000</xdr:colOff>
                <xdr:row>5</xdr:row>
                <xdr:rowOff>476250</xdr:rowOff>
              </to>
            </anchor>
          </controlPr>
        </control>
      </mc:Choice>
      <mc:Fallback>
        <control shapeId="6147" r:id="rId18" name="CBXReingressoReabertura"/>
      </mc:Fallback>
    </mc:AlternateContent>
    <mc:AlternateContent xmlns:mc="http://schemas.openxmlformats.org/markup-compatibility/2006">
      <mc:Choice Requires="x14">
        <control shapeId="6146" r:id="rId20" name="CBXTransfInterna">
          <controlPr defaultSize="0" autoLine="0" r:id="rId21">
            <anchor moveWithCells="1">
              <from>
                <xdr:col>2</xdr:col>
                <xdr:colOff>800100</xdr:colOff>
                <xdr:row>5</xdr:row>
                <xdr:rowOff>114300</xdr:rowOff>
              </from>
              <to>
                <xdr:col>2</xdr:col>
                <xdr:colOff>1809750</xdr:colOff>
                <xdr:row>5</xdr:row>
                <xdr:rowOff>476250</xdr:rowOff>
              </to>
            </anchor>
          </controlPr>
        </control>
      </mc:Choice>
      <mc:Fallback>
        <control shapeId="6146" r:id="rId20" name="CBXTransfInterna"/>
      </mc:Fallback>
    </mc:AlternateContent>
    <mc:AlternateContent xmlns:mc="http://schemas.openxmlformats.org/markup-compatibility/2006">
      <mc:Choice Requires="x14">
        <control shapeId="6145" r:id="rId22" name="CBXTransfExterna">
          <controlPr defaultSize="0" autoLine="0" r:id="rId23">
            <anchor moveWithCells="1">
              <from>
                <xdr:col>1</xdr:col>
                <xdr:colOff>171450</xdr:colOff>
                <xdr:row>5</xdr:row>
                <xdr:rowOff>114300</xdr:rowOff>
              </from>
              <to>
                <xdr:col>2</xdr:col>
                <xdr:colOff>742950</xdr:colOff>
                <xdr:row>5</xdr:row>
                <xdr:rowOff>476250</xdr:rowOff>
              </to>
            </anchor>
          </controlPr>
        </control>
      </mc:Choice>
      <mc:Fallback>
        <control shapeId="6145" r:id="rId22" name="CBXTransfExtern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D014-AC1A-49E3-B1F2-63B7F39329D3}">
  <sheetPr codeName="Planilha3">
    <tabColor rgb="FFFF0000"/>
    <pageSetUpPr fitToPage="1"/>
  </sheetPr>
  <dimension ref="A2:J59"/>
  <sheetViews>
    <sheetView showGridLines="0" showRowColHeaders="0" topLeftCell="A4" zoomScale="95" zoomScaleNormal="95" workbookViewId="0"/>
  </sheetViews>
  <sheetFormatPr defaultRowHeight="14.5" x14ac:dyDescent="0.35"/>
  <cols>
    <col min="1" max="1" width="2.81640625" customWidth="1"/>
    <col min="2" max="2" width="6.54296875" customWidth="1"/>
    <col min="3" max="3" width="50.1796875" customWidth="1"/>
    <col min="4" max="4" width="4.54296875" customWidth="1"/>
    <col min="5" max="5" width="49.26953125" customWidth="1"/>
    <col min="6" max="6" width="8.453125" customWidth="1"/>
    <col min="7" max="7" width="9.7265625" customWidth="1"/>
    <col min="8" max="8" width="2.54296875" customWidth="1"/>
    <col min="10" max="10" width="18.81640625" customWidth="1"/>
  </cols>
  <sheetData>
    <row r="2" spans="1:10" ht="15" customHeight="1" x14ac:dyDescent="0.35">
      <c r="B2" s="92" t="s">
        <v>109</v>
      </c>
      <c r="C2" s="93"/>
      <c r="D2" s="93"/>
      <c r="E2" s="93"/>
      <c r="F2" s="93"/>
      <c r="G2" s="94"/>
    </row>
    <row r="3" spans="1:10" ht="41.25" customHeight="1" x14ac:dyDescent="0.35">
      <c r="A3" s="2"/>
      <c r="B3" s="98"/>
      <c r="C3" s="99"/>
      <c r="D3" s="99"/>
      <c r="E3" s="99"/>
      <c r="F3" s="99"/>
      <c r="G3" s="100"/>
    </row>
    <row r="4" spans="1:10" ht="15" customHeight="1" x14ac:dyDescent="0.35">
      <c r="B4" s="101"/>
      <c r="C4" s="102"/>
      <c r="D4" s="102"/>
      <c r="E4" s="102"/>
      <c r="F4" s="102"/>
      <c r="G4" s="103"/>
    </row>
    <row r="5" spans="1:10" x14ac:dyDescent="0.35">
      <c r="B5" s="21" t="s">
        <v>3</v>
      </c>
      <c r="C5" s="104"/>
      <c r="D5" s="104"/>
      <c r="E5" s="104"/>
      <c r="F5" s="104"/>
      <c r="G5" s="105"/>
    </row>
    <row r="6" spans="1:10" ht="51.75" customHeight="1" x14ac:dyDescent="0.35">
      <c r="B6" s="3"/>
      <c r="G6" s="4"/>
    </row>
    <row r="7" spans="1:10" ht="15" customHeight="1" x14ac:dyDescent="0.35">
      <c r="B7" s="22" t="s">
        <v>4</v>
      </c>
      <c r="C7" s="23" t="s">
        <v>35</v>
      </c>
      <c r="D7" s="22" t="s">
        <v>6</v>
      </c>
      <c r="E7" s="22" t="s">
        <v>7</v>
      </c>
      <c r="F7" s="22" t="s">
        <v>8</v>
      </c>
      <c r="G7" s="22" t="s">
        <v>9</v>
      </c>
      <c r="I7" s="106" t="s">
        <v>36</v>
      </c>
      <c r="J7" s="106"/>
    </row>
    <row r="8" spans="1:10" x14ac:dyDescent="0.35">
      <c r="B8" s="24"/>
      <c r="C8" s="25" t="s">
        <v>110</v>
      </c>
      <c r="D8" s="32">
        <v>80</v>
      </c>
      <c r="E8" s="39"/>
      <c r="F8" s="26"/>
      <c r="G8" s="26" t="str">
        <f t="shared" ref="G8:G12" si="0">IF(ISBLANK(E8),"CURSAR","")</f>
        <v>CURSAR</v>
      </c>
      <c r="I8" s="1" t="str">
        <f>IF(D8="C.H ","-",IF(ISBLANK(F8),"",IFERROR(F8/D8,_xlfn.IFS(
LEN(F8)=5,SUM(MID(F8,1,SEARCH("+",F8,1)-1),MID(F8,SEARCH("+",F8,1)+1,2)),
LEN(F8)=8,SUM(MID(F8,1,SEARCH("+",F8,1)-1),MID(F8,SEARCH("+",F8,1)+1,2),MID(F8,SEARCH("+",F8,SEARCH("+",F8,1)+1)+1,2)),
LEN(F8)=11,SUM(MID(F8,1,SEARCH("+",F8,1)-1),MID(F8,SEARCH("+",F8,1)+1,2),MID(F8,SEARCH("+",F8,SEARCH("+",F8,1)+1)+1,2),MID(F8,SEARCH("+",F8,SEARCH("+",F8,1)+5)+1,2)))/D8)))</f>
        <v/>
      </c>
      <c r="J8" s="1" t="str">
        <f>IF(E8="Disciplinas Cursadas ","",IF(COUNTIF($E$8:$E$50,E8)&gt;1,"Disciplina Duplicada",""))</f>
        <v/>
      </c>
    </row>
    <row r="9" spans="1:10" x14ac:dyDescent="0.35">
      <c r="B9" s="24"/>
      <c r="C9" s="27" t="s">
        <v>111</v>
      </c>
      <c r="D9" s="32">
        <v>80</v>
      </c>
      <c r="E9" s="39"/>
      <c r="F9" s="26"/>
      <c r="G9" s="26" t="str">
        <f t="shared" si="0"/>
        <v>CURSAR</v>
      </c>
      <c r="I9" s="1" t="str">
        <f>IF(D9="C.H ","-",IF(ISBLANK(F9),"",IFERROR(F9/D9,_xlfn.IFS(
LEN(F9)=5,SUM(MID(F9,1,SEARCH("+",F9,1)-1),MID(F9,SEARCH("+",F9,1)+1,2)),
LEN(F9)=8,SUM(MID(F9,1,SEARCH("+",F9,1)-1),MID(F9,SEARCH("+",F9,1)+1,2),MID(F9,SEARCH("+",F9,SEARCH("+",F9,1)+1)+1,2)),
LEN(F9)=11,SUM(MID(F9,1,SEARCH("+",F9,1)-1),MID(F9,SEARCH("+",F9,1)+1,2),MID(F9,SEARCH("+",F9,SEARCH("+",F9,1)+1)+1,2),MID(F9,SEARCH("+",F9,SEARCH("+",F9,1)+5)+1,2)))/D9)))</f>
        <v/>
      </c>
      <c r="J9" s="1"/>
    </row>
    <row r="10" spans="1:10" x14ac:dyDescent="0.35">
      <c r="B10" s="24"/>
      <c r="C10" s="27" t="s">
        <v>37</v>
      </c>
      <c r="D10" s="32">
        <v>80</v>
      </c>
      <c r="E10" s="39"/>
      <c r="F10" s="26"/>
      <c r="G10" s="26" t="str">
        <f t="shared" si="0"/>
        <v>CURSAR</v>
      </c>
      <c r="I10" s="1" t="str">
        <f>IF(D10="C.H ","-",IF(ISBLANK(F10),"",IFERROR(F10/D10,_xlfn.IFS(
LEN(F10)=5,SUM(MID(F10,1,SEARCH("+",F10,1)-1),MID(F10,SEARCH("+",F10,1)+1,2)),
LEN(F10)=8,SUM(MID(F10,1,SEARCH("+",F10,1)-1),MID(F10,SEARCH("+",F10,1)+1,2),MID(F10,SEARCH("+",F10,SEARCH("+",F10,1)+1)+1,2)),
LEN(F10)=11,SUM(MID(F10,1,SEARCH("+",F10,1)-1),MID(F10,SEARCH("+",F10,1)+1,2),MID(F10,SEARCH("+",F10,SEARCH("+",F10,1)+1)+1,2),MID(F10,SEARCH("+",F10,SEARCH("+",F10,1)+5)+1,2)))/D10)))</f>
        <v/>
      </c>
      <c r="J10" s="1" t="str">
        <f t="shared" ref="J10:J50" si="1">IF(E10="Disciplinas Cursadas ","",IF(COUNTIF($E$8:$E$50,E10)&gt;1,"Disciplina Duplicada",""))</f>
        <v/>
      </c>
    </row>
    <row r="11" spans="1:10" x14ac:dyDescent="0.35">
      <c r="B11" s="24"/>
      <c r="C11" s="25" t="s">
        <v>91</v>
      </c>
      <c r="D11" s="32">
        <v>80</v>
      </c>
      <c r="E11" s="39"/>
      <c r="F11" s="26"/>
      <c r="G11" s="26" t="str">
        <f t="shared" si="0"/>
        <v>CURSAR</v>
      </c>
      <c r="I11" s="1" t="str">
        <f t="shared" ref="I11:I54" si="2">IF(D11="C.H ","-",IF(ISBLANK(F11),"",IFERROR(F11/D11,_xlfn.IFS(
LEN(F11)=5,SUM(MID(F11,1,SEARCH("+",F11,1)-1),MID(F11,SEARCH("+",F11,1)+1,2)),
LEN(F11)=8,SUM(MID(F11,1,SEARCH("+",F11,1)-1),MID(F11,SEARCH("+",F11,1)+1,2),MID(F11,SEARCH("+",F11,SEARCH("+",F11,1)+1)+1,2)),
LEN(F11)=11,SUM(MID(F11,1,SEARCH("+",F11,1)-1),MID(F11,SEARCH("+",F11,1)+1,2),MID(F11,SEARCH("+",F11,SEARCH("+",F11,1)+1)+1,2),MID(F11,SEARCH("+",F11,SEARCH("+",F11,1)+5)+1,2)))/D11)))</f>
        <v/>
      </c>
      <c r="J11" s="1" t="str">
        <f t="shared" si="1"/>
        <v/>
      </c>
    </row>
    <row r="12" spans="1:10" x14ac:dyDescent="0.35">
      <c r="B12" s="24"/>
      <c r="C12" s="25" t="s">
        <v>112</v>
      </c>
      <c r="D12" s="32">
        <v>80</v>
      </c>
      <c r="E12" s="39"/>
      <c r="F12" s="26"/>
      <c r="G12" s="26" t="str">
        <f t="shared" si="0"/>
        <v>CURSAR</v>
      </c>
      <c r="I12" s="1" t="str">
        <f t="shared" si="2"/>
        <v/>
      </c>
      <c r="J12" s="1" t="str">
        <f t="shared" si="1"/>
        <v/>
      </c>
    </row>
    <row r="13" spans="1:10" x14ac:dyDescent="0.35">
      <c r="B13" s="22" t="s">
        <v>4</v>
      </c>
      <c r="C13" s="22" t="s">
        <v>42</v>
      </c>
      <c r="D13" s="22" t="s">
        <v>6</v>
      </c>
      <c r="E13" s="22" t="s">
        <v>7</v>
      </c>
      <c r="F13" s="22" t="s">
        <v>8</v>
      </c>
      <c r="G13" s="22" t="s">
        <v>9</v>
      </c>
      <c r="I13" s="1" t="str">
        <f t="shared" si="2"/>
        <v>-</v>
      </c>
      <c r="J13" s="1" t="str">
        <f t="shared" si="1"/>
        <v/>
      </c>
    </row>
    <row r="14" spans="1:10" x14ac:dyDescent="0.35">
      <c r="B14" s="24" t="s">
        <v>10</v>
      </c>
      <c r="C14" s="27" t="s">
        <v>67</v>
      </c>
      <c r="D14" s="25">
        <v>80</v>
      </c>
      <c r="E14" s="39"/>
      <c r="F14" s="19"/>
      <c r="G14" s="26" t="str">
        <f>IF(ISBLANK(E14),"CURSAR","")</f>
        <v>CURSAR</v>
      </c>
      <c r="I14" s="1" t="str">
        <f t="shared" si="2"/>
        <v/>
      </c>
      <c r="J14" s="1" t="str">
        <f t="shared" si="1"/>
        <v/>
      </c>
    </row>
    <row r="15" spans="1:10" x14ac:dyDescent="0.35">
      <c r="B15" s="24"/>
      <c r="C15" s="27" t="s">
        <v>113</v>
      </c>
      <c r="D15" s="25">
        <v>80</v>
      </c>
      <c r="E15" s="40"/>
      <c r="F15" s="25"/>
      <c r="G15" s="26" t="str">
        <f t="shared" ref="G15:G24" si="3">IF(ISBLANK(E15),"CURSAR","")</f>
        <v>CURSAR</v>
      </c>
      <c r="I15" s="1" t="str">
        <f t="shared" si="2"/>
        <v/>
      </c>
      <c r="J15" s="1" t="str">
        <f t="shared" si="1"/>
        <v/>
      </c>
    </row>
    <row r="16" spans="1:10" x14ac:dyDescent="0.35">
      <c r="B16" s="24"/>
      <c r="C16" s="27" t="s">
        <v>53</v>
      </c>
      <c r="D16" s="25">
        <v>80</v>
      </c>
      <c r="E16" s="41"/>
      <c r="F16" s="26"/>
      <c r="G16" s="26" t="str">
        <f t="shared" si="3"/>
        <v>CURSAR</v>
      </c>
      <c r="I16" s="1" t="str">
        <f t="shared" si="2"/>
        <v/>
      </c>
      <c r="J16" s="1" t="str">
        <f t="shared" si="1"/>
        <v/>
      </c>
    </row>
    <row r="17" spans="2:10" x14ac:dyDescent="0.35">
      <c r="B17" s="24"/>
      <c r="C17" s="25" t="s">
        <v>114</v>
      </c>
      <c r="D17" s="25">
        <v>80</v>
      </c>
      <c r="E17" s="42"/>
      <c r="F17" s="20"/>
      <c r="G17" s="26" t="str">
        <f t="shared" si="3"/>
        <v>CURSAR</v>
      </c>
      <c r="I17" s="1" t="str">
        <f t="shared" si="2"/>
        <v/>
      </c>
      <c r="J17" s="1" t="str">
        <f t="shared" si="1"/>
        <v/>
      </c>
    </row>
    <row r="18" spans="2:10" x14ac:dyDescent="0.35">
      <c r="B18" s="24"/>
      <c r="C18" s="25" t="s">
        <v>115</v>
      </c>
      <c r="D18" s="25">
        <v>80</v>
      </c>
      <c r="E18" s="43"/>
      <c r="F18" s="26"/>
      <c r="G18" s="26" t="str">
        <f t="shared" si="3"/>
        <v>CURSAR</v>
      </c>
      <c r="I18" s="1" t="str">
        <f t="shared" si="2"/>
        <v/>
      </c>
      <c r="J18" s="1" t="str">
        <f t="shared" si="1"/>
        <v/>
      </c>
    </row>
    <row r="19" spans="2:10" x14ac:dyDescent="0.35">
      <c r="B19" s="22" t="s">
        <v>4</v>
      </c>
      <c r="C19" s="22" t="s">
        <v>48</v>
      </c>
      <c r="D19" s="22" t="s">
        <v>6</v>
      </c>
      <c r="E19" s="22" t="s">
        <v>7</v>
      </c>
      <c r="F19" s="22" t="s">
        <v>8</v>
      </c>
      <c r="G19" s="22" t="s">
        <v>9</v>
      </c>
      <c r="I19" s="1" t="str">
        <f t="shared" si="2"/>
        <v>-</v>
      </c>
      <c r="J19" s="1" t="str">
        <f t="shared" si="1"/>
        <v/>
      </c>
    </row>
    <row r="20" spans="2:10" x14ac:dyDescent="0.35">
      <c r="B20" s="24" t="s">
        <v>10</v>
      </c>
      <c r="C20" s="25" t="s">
        <v>116</v>
      </c>
      <c r="D20" s="25">
        <v>80</v>
      </c>
      <c r="F20" s="26"/>
      <c r="G20" s="26" t="str">
        <f t="shared" si="3"/>
        <v>CURSAR</v>
      </c>
      <c r="I20" s="1" t="str">
        <f t="shared" si="2"/>
        <v/>
      </c>
      <c r="J20" s="1" t="str">
        <f t="shared" si="1"/>
        <v/>
      </c>
    </row>
    <row r="21" spans="2:10" x14ac:dyDescent="0.35">
      <c r="B21" s="24"/>
      <c r="C21" s="25" t="s">
        <v>86</v>
      </c>
      <c r="D21" s="25">
        <v>80</v>
      </c>
      <c r="E21" s="44"/>
      <c r="F21" s="26"/>
      <c r="G21" s="26" t="str">
        <f t="shared" si="3"/>
        <v>CURSAR</v>
      </c>
      <c r="I21" s="1" t="str">
        <f t="shared" si="2"/>
        <v/>
      </c>
      <c r="J21" s="1" t="str">
        <f t="shared" si="1"/>
        <v/>
      </c>
    </row>
    <row r="22" spans="2:10" x14ac:dyDescent="0.35">
      <c r="B22" s="24"/>
      <c r="C22" s="25" t="s">
        <v>57</v>
      </c>
      <c r="D22" s="25">
        <v>80</v>
      </c>
      <c r="E22" s="44"/>
      <c r="F22" s="26"/>
      <c r="G22" s="26" t="str">
        <f t="shared" si="3"/>
        <v>CURSAR</v>
      </c>
      <c r="I22" s="1" t="str">
        <f t="shared" si="2"/>
        <v/>
      </c>
      <c r="J22" s="1" t="str">
        <f t="shared" si="1"/>
        <v/>
      </c>
    </row>
    <row r="23" spans="2:10" x14ac:dyDescent="0.35">
      <c r="B23" s="24"/>
      <c r="C23" s="25" t="s">
        <v>117</v>
      </c>
      <c r="D23" s="25">
        <v>80</v>
      </c>
      <c r="E23" s="44"/>
      <c r="F23" s="26"/>
      <c r="G23" s="26" t="str">
        <f t="shared" si="3"/>
        <v>CURSAR</v>
      </c>
      <c r="I23" s="1" t="str">
        <f t="shared" si="2"/>
        <v/>
      </c>
      <c r="J23" s="1" t="str">
        <f t="shared" si="1"/>
        <v/>
      </c>
    </row>
    <row r="24" spans="2:10" x14ac:dyDescent="0.35">
      <c r="B24" s="24"/>
      <c r="C24" s="25" t="s">
        <v>118</v>
      </c>
      <c r="D24" s="25">
        <v>80</v>
      </c>
      <c r="F24" s="26"/>
      <c r="G24" s="26" t="str">
        <f t="shared" si="3"/>
        <v>CURSAR</v>
      </c>
      <c r="I24" s="1" t="str">
        <f t="shared" si="2"/>
        <v/>
      </c>
      <c r="J24" s="1" t="str">
        <f t="shared" si="1"/>
        <v/>
      </c>
    </row>
    <row r="25" spans="2:10" x14ac:dyDescent="0.35">
      <c r="B25" s="22" t="s">
        <v>4</v>
      </c>
      <c r="C25" s="22" t="s">
        <v>54</v>
      </c>
      <c r="D25" s="22" t="s">
        <v>6</v>
      </c>
      <c r="E25" s="22" t="s">
        <v>7</v>
      </c>
      <c r="F25" s="22" t="s">
        <v>8</v>
      </c>
      <c r="G25" s="22" t="s">
        <v>9</v>
      </c>
      <c r="I25" s="1" t="str">
        <f t="shared" si="2"/>
        <v>-</v>
      </c>
      <c r="J25" s="1" t="str">
        <f t="shared" si="1"/>
        <v/>
      </c>
    </row>
    <row r="26" spans="2:10" x14ac:dyDescent="0.35">
      <c r="B26" s="32" t="s">
        <v>10</v>
      </c>
      <c r="C26" s="32" t="s">
        <v>119</v>
      </c>
      <c r="D26" s="32">
        <v>80</v>
      </c>
      <c r="E26" s="32"/>
      <c r="F26" s="26"/>
      <c r="G26" s="26" t="str">
        <f t="shared" ref="G26:G30" si="4">IF(ISBLANK(E26),"CURSAR","")</f>
        <v>CURSAR</v>
      </c>
      <c r="I26" s="1" t="str">
        <f t="shared" si="2"/>
        <v/>
      </c>
      <c r="J26" s="1" t="str">
        <f t="shared" si="1"/>
        <v/>
      </c>
    </row>
    <row r="27" spans="2:10" x14ac:dyDescent="0.35">
      <c r="B27" s="32"/>
      <c r="C27" s="33" t="s">
        <v>120</v>
      </c>
      <c r="D27" s="32">
        <v>80</v>
      </c>
      <c r="E27" s="32"/>
      <c r="F27" s="26"/>
      <c r="G27" s="26" t="str">
        <f t="shared" si="4"/>
        <v>CURSAR</v>
      </c>
      <c r="I27" s="1" t="str">
        <f t="shared" si="2"/>
        <v/>
      </c>
      <c r="J27" s="1" t="str">
        <f t="shared" si="1"/>
        <v/>
      </c>
    </row>
    <row r="28" spans="2:10" x14ac:dyDescent="0.35">
      <c r="B28" s="32"/>
      <c r="C28" s="32" t="s">
        <v>89</v>
      </c>
      <c r="D28" s="32">
        <v>80</v>
      </c>
      <c r="E28" s="30"/>
      <c r="F28" s="26"/>
      <c r="G28" s="26" t="str">
        <f t="shared" si="4"/>
        <v>CURSAR</v>
      </c>
      <c r="I28" s="1" t="str">
        <f t="shared" si="2"/>
        <v/>
      </c>
      <c r="J28" s="1" t="str">
        <f t="shared" si="1"/>
        <v/>
      </c>
    </row>
    <row r="29" spans="2:10" x14ac:dyDescent="0.35">
      <c r="B29" s="32"/>
      <c r="C29" s="32" t="s">
        <v>63</v>
      </c>
      <c r="D29" s="32">
        <v>80</v>
      </c>
      <c r="E29" s="30"/>
      <c r="F29" s="26"/>
      <c r="G29" s="26" t="str">
        <f t="shared" si="4"/>
        <v>CURSAR</v>
      </c>
      <c r="I29" s="1" t="str">
        <f t="shared" si="2"/>
        <v/>
      </c>
      <c r="J29" s="1" t="str">
        <f t="shared" si="1"/>
        <v/>
      </c>
    </row>
    <row r="30" spans="2:10" x14ac:dyDescent="0.35">
      <c r="B30" s="32"/>
      <c r="C30" s="32" t="s">
        <v>121</v>
      </c>
      <c r="D30" s="32">
        <v>80</v>
      </c>
      <c r="E30" s="32"/>
      <c r="F30" s="26"/>
      <c r="G30" s="26" t="str">
        <f t="shared" si="4"/>
        <v>CURSAR</v>
      </c>
      <c r="I30" s="1" t="str">
        <f t="shared" si="2"/>
        <v/>
      </c>
      <c r="J30" s="1" t="str">
        <f t="shared" si="1"/>
        <v/>
      </c>
    </row>
    <row r="31" spans="2:10" x14ac:dyDescent="0.35">
      <c r="B31" s="22" t="s">
        <v>4</v>
      </c>
      <c r="C31" s="22" t="s">
        <v>60</v>
      </c>
      <c r="D31" s="22" t="s">
        <v>6</v>
      </c>
      <c r="E31" s="22" t="s">
        <v>7</v>
      </c>
      <c r="F31" s="22" t="s">
        <v>8</v>
      </c>
      <c r="G31" s="22" t="s">
        <v>9</v>
      </c>
      <c r="I31" s="1" t="str">
        <f t="shared" si="2"/>
        <v>-</v>
      </c>
      <c r="J31" s="1" t="str">
        <f t="shared" si="1"/>
        <v/>
      </c>
    </row>
    <row r="32" spans="2:10" x14ac:dyDescent="0.35">
      <c r="B32" s="32"/>
      <c r="C32" s="32" t="s">
        <v>122</v>
      </c>
      <c r="D32" s="32">
        <v>80</v>
      </c>
      <c r="E32" s="32"/>
      <c r="F32" s="26"/>
      <c r="G32" s="26" t="str">
        <f t="shared" ref="G32:G40" si="5">IF(ISBLANK(E32),"CURSAR","")</f>
        <v>CURSAR</v>
      </c>
      <c r="I32" s="1" t="str">
        <f t="shared" si="2"/>
        <v/>
      </c>
      <c r="J32" s="1" t="str">
        <f t="shared" si="1"/>
        <v/>
      </c>
    </row>
    <row r="33" spans="2:10" x14ac:dyDescent="0.35">
      <c r="B33" s="32"/>
      <c r="C33" s="32" t="s">
        <v>123</v>
      </c>
      <c r="D33" s="32">
        <v>80</v>
      </c>
      <c r="E33" s="32"/>
      <c r="F33" s="26"/>
      <c r="G33" s="26" t="str">
        <f t="shared" si="5"/>
        <v>CURSAR</v>
      </c>
      <c r="I33" s="1" t="str">
        <f t="shared" si="2"/>
        <v/>
      </c>
      <c r="J33" s="1" t="str">
        <f t="shared" si="1"/>
        <v/>
      </c>
    </row>
    <row r="34" spans="2:10" x14ac:dyDescent="0.35">
      <c r="B34" s="32"/>
      <c r="C34" s="32" t="s">
        <v>50</v>
      </c>
      <c r="D34" s="32">
        <v>80</v>
      </c>
      <c r="E34" s="32"/>
      <c r="F34" s="26"/>
      <c r="G34" s="26" t="str">
        <f t="shared" si="5"/>
        <v>CURSAR</v>
      </c>
      <c r="I34" s="1" t="str">
        <f t="shared" si="2"/>
        <v/>
      </c>
      <c r="J34" s="1" t="str">
        <f t="shared" si="1"/>
        <v/>
      </c>
    </row>
    <row r="35" spans="2:10" x14ac:dyDescent="0.35">
      <c r="B35" s="32"/>
      <c r="C35" s="32" t="s">
        <v>124</v>
      </c>
      <c r="D35" s="32">
        <v>80</v>
      </c>
      <c r="E35" s="32"/>
      <c r="F35" s="26"/>
      <c r="G35" s="26" t="str">
        <f t="shared" si="5"/>
        <v>CURSAR</v>
      </c>
      <c r="I35" s="1" t="str">
        <f t="shared" si="2"/>
        <v/>
      </c>
      <c r="J35" s="1" t="str">
        <f t="shared" si="1"/>
        <v/>
      </c>
    </row>
    <row r="36" spans="2:10" x14ac:dyDescent="0.35">
      <c r="B36" s="22" t="s">
        <v>4</v>
      </c>
      <c r="C36" s="22" t="s">
        <v>66</v>
      </c>
      <c r="D36" s="22" t="s">
        <v>6</v>
      </c>
      <c r="E36" s="22" t="s">
        <v>7</v>
      </c>
      <c r="F36" s="22" t="s">
        <v>8</v>
      </c>
      <c r="G36" s="22" t="s">
        <v>9</v>
      </c>
      <c r="I36" s="1" t="str">
        <f t="shared" si="2"/>
        <v>-</v>
      </c>
      <c r="J36" s="1" t="str">
        <f t="shared" si="1"/>
        <v/>
      </c>
    </row>
    <row r="37" spans="2:10" x14ac:dyDescent="0.35">
      <c r="B37" s="32"/>
      <c r="C37" s="32" t="s">
        <v>125</v>
      </c>
      <c r="D37" s="32">
        <v>80</v>
      </c>
      <c r="E37" s="32"/>
      <c r="F37" s="26"/>
      <c r="G37" s="26" t="str">
        <f t="shared" si="5"/>
        <v>CURSAR</v>
      </c>
      <c r="I37" s="1" t="str">
        <f t="shared" si="2"/>
        <v/>
      </c>
      <c r="J37" s="1" t="str">
        <f t="shared" si="1"/>
        <v/>
      </c>
    </row>
    <row r="38" spans="2:10" x14ac:dyDescent="0.35">
      <c r="B38" s="32"/>
      <c r="C38" s="32" t="s">
        <v>126</v>
      </c>
      <c r="D38" s="32">
        <v>80</v>
      </c>
      <c r="E38" s="32"/>
      <c r="F38" s="26"/>
      <c r="G38" s="26" t="str">
        <f t="shared" si="5"/>
        <v>CURSAR</v>
      </c>
      <c r="I38" s="1" t="str">
        <f t="shared" si="2"/>
        <v/>
      </c>
      <c r="J38" s="1" t="str">
        <f t="shared" si="1"/>
        <v/>
      </c>
    </row>
    <row r="39" spans="2:10" x14ac:dyDescent="0.35">
      <c r="B39" s="32"/>
      <c r="C39" s="32" t="s">
        <v>45</v>
      </c>
      <c r="D39" s="32">
        <v>80</v>
      </c>
      <c r="E39" s="32"/>
      <c r="F39" s="26"/>
      <c r="G39" s="26" t="str">
        <f t="shared" si="5"/>
        <v>CURSAR</v>
      </c>
      <c r="I39" s="1" t="str">
        <f t="shared" si="2"/>
        <v/>
      </c>
      <c r="J39" s="1" t="str">
        <f t="shared" si="1"/>
        <v/>
      </c>
    </row>
    <row r="40" spans="2:10" x14ac:dyDescent="0.35">
      <c r="B40" s="32"/>
      <c r="C40" s="33" t="s">
        <v>127</v>
      </c>
      <c r="D40" s="32">
        <v>80</v>
      </c>
      <c r="E40" s="32"/>
      <c r="F40" s="26"/>
      <c r="G40" s="26" t="str">
        <f t="shared" si="5"/>
        <v>CURSAR</v>
      </c>
      <c r="I40" s="1" t="str">
        <f t="shared" si="2"/>
        <v/>
      </c>
      <c r="J40" s="1" t="str">
        <f t="shared" si="1"/>
        <v/>
      </c>
    </row>
    <row r="41" spans="2:10" x14ac:dyDescent="0.35">
      <c r="B41" s="22" t="s">
        <v>4</v>
      </c>
      <c r="C41" s="22" t="s">
        <v>72</v>
      </c>
      <c r="D41" s="22" t="s">
        <v>6</v>
      </c>
      <c r="E41" s="22" t="s">
        <v>7</v>
      </c>
      <c r="F41" s="22" t="s">
        <v>8</v>
      </c>
      <c r="G41" s="22" t="s">
        <v>9</v>
      </c>
      <c r="I41" s="1" t="str">
        <f t="shared" si="2"/>
        <v>-</v>
      </c>
      <c r="J41" s="1" t="str">
        <f t="shared" si="1"/>
        <v/>
      </c>
    </row>
    <row r="42" spans="2:10" x14ac:dyDescent="0.35">
      <c r="B42" s="32"/>
      <c r="C42" s="32" t="s">
        <v>128</v>
      </c>
      <c r="D42" s="32">
        <v>80</v>
      </c>
      <c r="E42" s="32"/>
      <c r="F42" s="26"/>
      <c r="G42" s="26" t="str">
        <f t="shared" ref="G42:G45" si="6">IF(ISBLANK(E42),"CURSAR","")</f>
        <v>CURSAR</v>
      </c>
      <c r="I42" s="1" t="str">
        <f t="shared" si="2"/>
        <v/>
      </c>
      <c r="J42" s="1" t="str">
        <f t="shared" si="1"/>
        <v/>
      </c>
    </row>
    <row r="43" spans="2:10" x14ac:dyDescent="0.35">
      <c r="B43" s="32"/>
      <c r="C43" s="33" t="s">
        <v>129</v>
      </c>
      <c r="D43" s="32">
        <v>80</v>
      </c>
      <c r="E43" s="32"/>
      <c r="F43" s="26"/>
      <c r="G43" s="26" t="str">
        <f t="shared" si="6"/>
        <v>CURSAR</v>
      </c>
      <c r="I43" s="1" t="str">
        <f t="shared" si="2"/>
        <v/>
      </c>
      <c r="J43" s="1" t="str">
        <f t="shared" si="1"/>
        <v/>
      </c>
    </row>
    <row r="44" spans="2:10" x14ac:dyDescent="0.35">
      <c r="B44" s="32"/>
      <c r="C44" s="32" t="s">
        <v>130</v>
      </c>
      <c r="D44" s="32">
        <v>80</v>
      </c>
      <c r="E44" s="30"/>
      <c r="F44" s="26"/>
      <c r="G44" s="26" t="str">
        <f t="shared" si="6"/>
        <v>CURSAR</v>
      </c>
      <c r="I44" s="1" t="str">
        <f t="shared" si="2"/>
        <v/>
      </c>
      <c r="J44" s="1" t="str">
        <f t="shared" si="1"/>
        <v/>
      </c>
    </row>
    <row r="45" spans="2:10" x14ac:dyDescent="0.35">
      <c r="B45" s="32"/>
      <c r="C45" s="32" t="s">
        <v>131</v>
      </c>
      <c r="D45" s="32">
        <v>80</v>
      </c>
      <c r="E45" s="32"/>
      <c r="F45" s="26"/>
      <c r="G45" s="26" t="str">
        <f t="shared" si="6"/>
        <v>CURSAR</v>
      </c>
      <c r="I45" s="1" t="str">
        <f t="shared" si="2"/>
        <v/>
      </c>
      <c r="J45" s="1" t="str">
        <f t="shared" si="1"/>
        <v/>
      </c>
    </row>
    <row r="46" spans="2:10" x14ac:dyDescent="0.35">
      <c r="B46" s="22" t="s">
        <v>4</v>
      </c>
      <c r="C46" s="22" t="s">
        <v>78</v>
      </c>
      <c r="D46" s="22" t="s">
        <v>6</v>
      </c>
      <c r="E46" s="22" t="s">
        <v>7</v>
      </c>
      <c r="F46" s="22" t="s">
        <v>8</v>
      </c>
      <c r="G46" s="22" t="s">
        <v>9</v>
      </c>
      <c r="I46" s="1" t="str">
        <f t="shared" si="2"/>
        <v>-</v>
      </c>
      <c r="J46" s="1" t="str">
        <f t="shared" si="1"/>
        <v/>
      </c>
    </row>
    <row r="47" spans="2:10" x14ac:dyDescent="0.35">
      <c r="B47" s="32"/>
      <c r="C47" s="32" t="s">
        <v>132</v>
      </c>
      <c r="D47" s="32">
        <v>80</v>
      </c>
      <c r="E47" s="32"/>
      <c r="F47" s="26"/>
      <c r="G47" s="26" t="str">
        <f t="shared" ref="G47:G50" si="7">IF(ISBLANK(E47),"CURSAR","")</f>
        <v>CURSAR</v>
      </c>
      <c r="I47" s="1" t="str">
        <f t="shared" si="2"/>
        <v/>
      </c>
      <c r="J47" s="1" t="str">
        <f t="shared" si="1"/>
        <v/>
      </c>
    </row>
    <row r="48" spans="2:10" x14ac:dyDescent="0.35">
      <c r="B48" s="32"/>
      <c r="C48" s="32" t="s">
        <v>133</v>
      </c>
      <c r="D48" s="32">
        <v>80</v>
      </c>
      <c r="E48" s="30"/>
      <c r="F48" s="26"/>
      <c r="G48" s="26" t="str">
        <f t="shared" si="7"/>
        <v>CURSAR</v>
      </c>
      <c r="I48" s="1" t="str">
        <f t="shared" si="2"/>
        <v/>
      </c>
      <c r="J48" s="1" t="str">
        <f t="shared" si="1"/>
        <v/>
      </c>
    </row>
    <row r="49" spans="2:10" x14ac:dyDescent="0.35">
      <c r="B49" s="32"/>
      <c r="C49" s="32" t="s">
        <v>134</v>
      </c>
      <c r="D49" s="32">
        <v>80</v>
      </c>
      <c r="E49" s="32"/>
      <c r="F49" s="26"/>
      <c r="G49" s="26" t="str">
        <f t="shared" si="7"/>
        <v>CURSAR</v>
      </c>
      <c r="I49" s="1" t="str">
        <f t="shared" si="2"/>
        <v/>
      </c>
      <c r="J49" s="1" t="str">
        <f t="shared" si="1"/>
        <v/>
      </c>
    </row>
    <row r="50" spans="2:10" x14ac:dyDescent="0.35">
      <c r="B50" s="32"/>
      <c r="C50" s="32" t="s">
        <v>135</v>
      </c>
      <c r="D50" s="32">
        <v>66</v>
      </c>
      <c r="E50" s="32"/>
      <c r="F50" s="26"/>
      <c r="G50" s="26" t="str">
        <f t="shared" si="7"/>
        <v>CURSAR</v>
      </c>
      <c r="I50" s="1" t="str">
        <f t="shared" si="2"/>
        <v/>
      </c>
      <c r="J50" s="1" t="str">
        <f t="shared" si="1"/>
        <v/>
      </c>
    </row>
    <row r="51" spans="2:10" x14ac:dyDescent="0.35">
      <c r="B51" s="107" t="s">
        <v>30</v>
      </c>
      <c r="C51" s="107"/>
      <c r="D51" s="107"/>
      <c r="E51" s="107"/>
      <c r="F51" s="107"/>
      <c r="G51" s="107"/>
      <c r="I51" s="1" t="str">
        <f t="shared" si="2"/>
        <v/>
      </c>
    </row>
    <row r="52" spans="2:10" x14ac:dyDescent="0.35">
      <c r="B52" s="3"/>
      <c r="E52" s="5" t="s">
        <v>31</v>
      </c>
      <c r="G52" s="4"/>
      <c r="I52" s="1" t="str">
        <f t="shared" si="2"/>
        <v/>
      </c>
    </row>
    <row r="53" spans="2:10" x14ac:dyDescent="0.35">
      <c r="B53" s="78" t="str">
        <f>CONCATENATE("Segue análise curricular atualizada. Aproveitamento de estudos com base no Histórico da ",$J$2," do curso ",$J$3,". O estudante deve ser matriculado no ",$J$4,"º semestre do curso de ADMINISTRAÇÃO.  Atenciosamente, Acadêmico")</f>
        <v>Segue análise curricular atualizada. Aproveitamento de estudos com base no Histórico da  do curso . O estudante deve ser matriculado no º semestre do curso de ADMINISTRAÇÃO.  Atenciosamente, Acadêmico</v>
      </c>
      <c r="C53" s="79"/>
      <c r="D53" s="79"/>
      <c r="E53" s="79"/>
      <c r="F53" s="79"/>
      <c r="G53" s="80"/>
      <c r="I53" s="1" t="str">
        <f t="shared" si="2"/>
        <v/>
      </c>
    </row>
    <row r="54" spans="2:10" x14ac:dyDescent="0.35">
      <c r="B54" s="81"/>
      <c r="C54" s="82"/>
      <c r="D54" s="82"/>
      <c r="E54" s="82"/>
      <c r="F54" s="82"/>
      <c r="G54" s="83"/>
      <c r="I54" s="1" t="str">
        <f t="shared" si="2"/>
        <v/>
      </c>
    </row>
    <row r="55" spans="2:10" x14ac:dyDescent="0.35">
      <c r="B55" s="84"/>
      <c r="C55" s="85"/>
      <c r="D55" s="85"/>
      <c r="E55" s="85"/>
      <c r="F55" s="85"/>
      <c r="G55" s="86"/>
    </row>
    <row r="56" spans="2:10" x14ac:dyDescent="0.35">
      <c r="B56" s="3"/>
      <c r="G56" s="4"/>
    </row>
    <row r="57" spans="2:10" x14ac:dyDescent="0.35">
      <c r="B57" s="35" t="s">
        <v>32</v>
      </c>
      <c r="C57" s="36">
        <f ca="1">TODAY()</f>
        <v>45135</v>
      </c>
      <c r="E57" s="87" t="s">
        <v>83</v>
      </c>
      <c r="F57" s="87"/>
      <c r="G57" s="88"/>
    </row>
    <row r="58" spans="2:10" x14ac:dyDescent="0.35">
      <c r="B58" s="37"/>
      <c r="C58" s="38"/>
      <c r="G58" s="4"/>
    </row>
    <row r="59" spans="2:10" x14ac:dyDescent="0.35">
      <c r="B59" s="89" t="s">
        <v>84</v>
      </c>
      <c r="C59" s="90"/>
      <c r="D59" s="90"/>
      <c r="E59" s="90"/>
      <c r="F59" s="90"/>
      <c r="G59" s="91"/>
    </row>
  </sheetData>
  <mergeCells count="8">
    <mergeCell ref="I7:J7"/>
    <mergeCell ref="B51:G51"/>
    <mergeCell ref="B53:G55"/>
    <mergeCell ref="E57:G57"/>
    <mergeCell ref="B59:G59"/>
    <mergeCell ref="B2:G3"/>
    <mergeCell ref="B4:G4"/>
    <mergeCell ref="C5:G5"/>
  </mergeCells>
  <conditionalFormatting sqref="I8:I54">
    <cfRule type="cellIs" dxfId="3" priority="2" operator="lessThan">
      <formula>0.75</formula>
    </cfRule>
  </conditionalFormatting>
  <conditionalFormatting sqref="J8:J50">
    <cfRule type="containsText" dxfId="2" priority="1" operator="containsText" text="Duplicada">
      <formula>NOT(ISERROR(SEARCH("Duplicada",J8)))</formula>
    </cfRule>
  </conditionalFormatting>
  <pageMargins left="0.7" right="0.7" top="0.75" bottom="0.75" header="0.3" footer="0.3"/>
  <pageSetup paperSize="9" scale="44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7179" r:id="rId4" name="TXTSEM">
          <controlPr defaultSize="0" autoLine="0" autoPict="0" r:id="rId5">
            <anchor moveWithCells="1">
              <from>
                <xdr:col>9</xdr:col>
                <xdr:colOff>419100</xdr:colOff>
                <xdr:row>4</xdr:row>
                <xdr:rowOff>146050</xdr:rowOff>
              </from>
              <to>
                <xdr:col>13</xdr:col>
                <xdr:colOff>412750</xdr:colOff>
                <xdr:row>5</xdr:row>
                <xdr:rowOff>190500</xdr:rowOff>
              </to>
            </anchor>
          </controlPr>
        </control>
      </mc:Choice>
      <mc:Fallback>
        <control shapeId="7179" r:id="rId4" name="TXTSEM"/>
      </mc:Fallback>
    </mc:AlternateContent>
    <mc:AlternateContent xmlns:mc="http://schemas.openxmlformats.org/markup-compatibility/2006">
      <mc:Choice Requires="x14">
        <control shapeId="7178" r:id="rId6" name="TXTCURSO">
          <controlPr defaultSize="0" autoLine="0" autoPict="0" r:id="rId5">
            <anchor moveWithCells="1">
              <from>
                <xdr:col>9</xdr:col>
                <xdr:colOff>419100</xdr:colOff>
                <xdr:row>3</xdr:row>
                <xdr:rowOff>6350</xdr:rowOff>
              </from>
              <to>
                <xdr:col>13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7178" r:id="rId6" name="TXTCURSO"/>
      </mc:Fallback>
    </mc:AlternateContent>
    <mc:AlternateContent xmlns:mc="http://schemas.openxmlformats.org/markup-compatibility/2006">
      <mc:Choice Requires="x14">
        <control shapeId="7177" r:id="rId7" name="TXTIES">
          <controlPr defaultSize="0" autoLine="0" autoPict="0" r:id="rId5">
            <anchor moveWithCells="1">
              <from>
                <xdr:col>9</xdr:col>
                <xdr:colOff>431800</xdr:colOff>
                <xdr:row>2</xdr:row>
                <xdr:rowOff>190500</xdr:rowOff>
              </from>
              <to>
                <xdr:col>13</xdr:col>
                <xdr:colOff>419100</xdr:colOff>
                <xdr:row>2</xdr:row>
                <xdr:rowOff>425450</xdr:rowOff>
              </to>
            </anchor>
          </controlPr>
        </control>
      </mc:Choice>
      <mc:Fallback>
        <control shapeId="7177" r:id="rId7" name="TXTIES"/>
      </mc:Fallback>
    </mc:AlternateContent>
    <mc:AlternateContent xmlns:mc="http://schemas.openxmlformats.org/markup-compatibility/2006">
      <mc:Choice Requires="x14">
        <control shapeId="7176" r:id="rId8" name="CBXReanáliseDisp">
          <controlPr defaultSize="0" autoLine="0" r:id="rId9">
            <anchor moveWithCells="1">
              <from>
                <xdr:col>5</xdr:col>
                <xdr:colOff>0</xdr:colOff>
                <xdr:row>5</xdr:row>
                <xdr:rowOff>114300</xdr:rowOff>
              </from>
              <to>
                <xdr:col>6</xdr:col>
                <xdr:colOff>450850</xdr:colOff>
                <xdr:row>5</xdr:row>
                <xdr:rowOff>476250</xdr:rowOff>
              </to>
            </anchor>
          </controlPr>
        </control>
      </mc:Choice>
      <mc:Fallback>
        <control shapeId="7176" r:id="rId8" name="CBXReanáliseDisp"/>
      </mc:Fallback>
    </mc:AlternateContent>
    <mc:AlternateContent xmlns:mc="http://schemas.openxmlformats.org/markup-compatibility/2006">
      <mc:Choice Requires="x14">
        <control shapeId="7175" r:id="rId10" name="CBXTransfdeCurso">
          <controlPr defaultSize="0" autoLine="0" r:id="rId11">
            <anchor moveWithCells="1">
              <from>
                <xdr:col>2</xdr:col>
                <xdr:colOff>1708150</xdr:colOff>
                <xdr:row>5</xdr:row>
                <xdr:rowOff>114300</xdr:rowOff>
              </from>
              <to>
                <xdr:col>2</xdr:col>
                <xdr:colOff>2717800</xdr:colOff>
                <xdr:row>5</xdr:row>
                <xdr:rowOff>476250</xdr:rowOff>
              </to>
            </anchor>
          </controlPr>
        </control>
      </mc:Choice>
      <mc:Fallback>
        <control shapeId="7175" r:id="rId10" name="CBXTransfdeCurso"/>
      </mc:Fallback>
    </mc:AlternateContent>
    <mc:AlternateContent xmlns:mc="http://schemas.openxmlformats.org/markup-compatibility/2006">
      <mc:Choice Requires="x14">
        <control shapeId="7174" r:id="rId12" name="CBXDispdeDisciplina">
          <controlPr defaultSize="0" autoLine="0" r:id="rId13">
            <anchor moveWithCells="1">
              <from>
                <xdr:col>4</xdr:col>
                <xdr:colOff>2190750</xdr:colOff>
                <xdr:row>5</xdr:row>
                <xdr:rowOff>114300</xdr:rowOff>
              </from>
              <to>
                <xdr:col>4</xdr:col>
                <xdr:colOff>3200400</xdr:colOff>
                <xdr:row>5</xdr:row>
                <xdr:rowOff>476250</xdr:rowOff>
              </to>
            </anchor>
          </controlPr>
        </control>
      </mc:Choice>
      <mc:Fallback>
        <control shapeId="7174" r:id="rId12" name="CBXDispdeDisciplina"/>
      </mc:Fallback>
    </mc:AlternateContent>
    <mc:AlternateContent xmlns:mc="http://schemas.openxmlformats.org/markup-compatibility/2006">
      <mc:Choice Requires="x14">
        <control shapeId="7173" r:id="rId14" name="CBXPortdeDiploma">
          <controlPr defaultSize="0" autoLine="0" r:id="rId15">
            <anchor moveWithCells="1">
              <from>
                <xdr:col>4</xdr:col>
                <xdr:colOff>1352550</xdr:colOff>
                <xdr:row>5</xdr:row>
                <xdr:rowOff>114300</xdr:rowOff>
              </from>
              <to>
                <xdr:col>4</xdr:col>
                <xdr:colOff>2298700</xdr:colOff>
                <xdr:row>5</xdr:row>
                <xdr:rowOff>476250</xdr:rowOff>
              </to>
            </anchor>
          </controlPr>
        </control>
      </mc:Choice>
      <mc:Fallback>
        <control shapeId="7173" r:id="rId14" name="CBXPortdeDiploma"/>
      </mc:Fallback>
    </mc:AlternateContent>
    <mc:AlternateContent xmlns:mc="http://schemas.openxmlformats.org/markup-compatibility/2006">
      <mc:Choice Requires="x14">
        <control shapeId="7172" r:id="rId16" name="CBXReanalisedeReingresso">
          <controlPr defaultSize="0" autoLine="0" r:id="rId17">
            <anchor moveWithCells="1">
              <from>
                <xdr:col>4</xdr:col>
                <xdr:colOff>165100</xdr:colOff>
                <xdr:row>5</xdr:row>
                <xdr:rowOff>114300</xdr:rowOff>
              </from>
              <to>
                <xdr:col>4</xdr:col>
                <xdr:colOff>1174750</xdr:colOff>
                <xdr:row>5</xdr:row>
                <xdr:rowOff>476250</xdr:rowOff>
              </to>
            </anchor>
          </controlPr>
        </control>
      </mc:Choice>
      <mc:Fallback>
        <control shapeId="7172" r:id="rId16" name="CBXReanalisedeReingresso"/>
      </mc:Fallback>
    </mc:AlternateContent>
    <mc:AlternateContent xmlns:mc="http://schemas.openxmlformats.org/markup-compatibility/2006">
      <mc:Choice Requires="x14">
        <control shapeId="7171" r:id="rId18" name="CBXReingressoReabertura">
          <controlPr defaultSize="0" autoLine="0" r:id="rId19">
            <anchor moveWithCells="1">
              <from>
                <xdr:col>2</xdr:col>
                <xdr:colOff>2762250</xdr:colOff>
                <xdr:row>5</xdr:row>
                <xdr:rowOff>114300</xdr:rowOff>
              </from>
              <to>
                <xdr:col>4</xdr:col>
                <xdr:colOff>127000</xdr:colOff>
                <xdr:row>5</xdr:row>
                <xdr:rowOff>476250</xdr:rowOff>
              </to>
            </anchor>
          </controlPr>
        </control>
      </mc:Choice>
      <mc:Fallback>
        <control shapeId="7171" r:id="rId18" name="CBXReingressoReabertura"/>
      </mc:Fallback>
    </mc:AlternateContent>
    <mc:AlternateContent xmlns:mc="http://schemas.openxmlformats.org/markup-compatibility/2006">
      <mc:Choice Requires="x14">
        <control shapeId="7170" r:id="rId20" name="CBXTransfInterna">
          <controlPr defaultSize="0" autoLine="0" r:id="rId21">
            <anchor moveWithCells="1">
              <from>
                <xdr:col>2</xdr:col>
                <xdr:colOff>800100</xdr:colOff>
                <xdr:row>5</xdr:row>
                <xdr:rowOff>114300</xdr:rowOff>
              </from>
              <to>
                <xdr:col>2</xdr:col>
                <xdr:colOff>1809750</xdr:colOff>
                <xdr:row>5</xdr:row>
                <xdr:rowOff>476250</xdr:rowOff>
              </to>
            </anchor>
          </controlPr>
        </control>
      </mc:Choice>
      <mc:Fallback>
        <control shapeId="7170" r:id="rId20" name="CBXTransfInterna"/>
      </mc:Fallback>
    </mc:AlternateContent>
    <mc:AlternateContent xmlns:mc="http://schemas.openxmlformats.org/markup-compatibility/2006">
      <mc:Choice Requires="x14">
        <control shapeId="7169" r:id="rId22" name="CBXTransfExterna">
          <controlPr defaultSize="0" autoLine="0" r:id="rId23">
            <anchor moveWithCells="1">
              <from>
                <xdr:col>1</xdr:col>
                <xdr:colOff>171450</xdr:colOff>
                <xdr:row>5</xdr:row>
                <xdr:rowOff>114300</xdr:rowOff>
              </from>
              <to>
                <xdr:col>2</xdr:col>
                <xdr:colOff>742950</xdr:colOff>
                <xdr:row>5</xdr:row>
                <xdr:rowOff>476250</xdr:rowOff>
              </to>
            </anchor>
          </controlPr>
        </control>
      </mc:Choice>
      <mc:Fallback>
        <control shapeId="7169" r:id="rId22" name="CBXTransfExtern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AA99-1CC9-4F84-8C44-B601B87C0106}">
  <sheetPr codeName="Planilha4">
    <tabColor rgb="FFFF0000"/>
    <pageSetUpPr fitToPage="1"/>
  </sheetPr>
  <dimension ref="A2:J60"/>
  <sheetViews>
    <sheetView showGridLines="0" showRowColHeaders="0" zoomScale="95" zoomScaleNormal="95" workbookViewId="0"/>
  </sheetViews>
  <sheetFormatPr defaultRowHeight="14.5" x14ac:dyDescent="0.35"/>
  <cols>
    <col min="1" max="1" width="2.81640625" customWidth="1"/>
    <col min="2" max="2" width="6.54296875" customWidth="1"/>
    <col min="3" max="3" width="50.1796875" customWidth="1"/>
    <col min="4" max="4" width="4.54296875" customWidth="1"/>
    <col min="5" max="5" width="49.26953125" customWidth="1"/>
    <col min="6" max="6" width="8.453125" customWidth="1"/>
    <col min="7" max="7" width="9.7265625" customWidth="1"/>
    <col min="8" max="8" width="2.54296875" customWidth="1"/>
    <col min="10" max="10" width="18.81640625" customWidth="1"/>
  </cols>
  <sheetData>
    <row r="2" spans="1:10" ht="15" customHeight="1" x14ac:dyDescent="0.35">
      <c r="B2" s="92" t="s">
        <v>136</v>
      </c>
      <c r="C2" s="93"/>
      <c r="D2" s="93"/>
      <c r="E2" s="93"/>
      <c r="F2" s="93"/>
      <c r="G2" s="94"/>
    </row>
    <row r="3" spans="1:10" ht="41.25" customHeight="1" x14ac:dyDescent="0.35">
      <c r="A3" s="2"/>
      <c r="B3" s="98"/>
      <c r="C3" s="99"/>
      <c r="D3" s="99"/>
      <c r="E3" s="99"/>
      <c r="F3" s="99"/>
      <c r="G3" s="100"/>
    </row>
    <row r="4" spans="1:10" ht="15" customHeight="1" x14ac:dyDescent="0.35">
      <c r="B4" s="101"/>
      <c r="C4" s="102"/>
      <c r="D4" s="102"/>
      <c r="E4" s="102"/>
      <c r="F4" s="102"/>
      <c r="G4" s="103"/>
    </row>
    <row r="5" spans="1:10" x14ac:dyDescent="0.35">
      <c r="B5" s="21" t="s">
        <v>3</v>
      </c>
      <c r="C5" s="104"/>
      <c r="D5" s="104"/>
      <c r="E5" s="104"/>
      <c r="F5" s="104"/>
      <c r="G5" s="105"/>
    </row>
    <row r="6" spans="1:10" ht="51.75" customHeight="1" x14ac:dyDescent="0.35">
      <c r="B6" s="3"/>
      <c r="G6" s="4"/>
    </row>
    <row r="7" spans="1:10" ht="15" customHeight="1" x14ac:dyDescent="0.35">
      <c r="B7" s="22" t="s">
        <v>4</v>
      </c>
      <c r="C7" s="23" t="s">
        <v>35</v>
      </c>
      <c r="D7" s="22" t="s">
        <v>6</v>
      </c>
      <c r="E7" s="22" t="s">
        <v>7</v>
      </c>
      <c r="F7" s="22" t="s">
        <v>8</v>
      </c>
      <c r="G7" s="22" t="s">
        <v>9</v>
      </c>
      <c r="I7" s="106" t="s">
        <v>36</v>
      </c>
      <c r="J7" s="106"/>
    </row>
    <row r="8" spans="1:10" x14ac:dyDescent="0.35">
      <c r="B8" s="24"/>
      <c r="C8" s="25" t="s">
        <v>137</v>
      </c>
      <c r="D8" s="32">
        <v>40</v>
      </c>
      <c r="E8" s="39"/>
      <c r="F8" s="26"/>
      <c r="G8" s="26" t="str">
        <f t="shared" ref="G8:G13" si="0">IF(ISBLANK(E8),"CURSAR","")</f>
        <v>CURSAR</v>
      </c>
      <c r="I8" s="1" t="str">
        <f>IF(D8="C.H ","-",IF(ISBLANK(F8),"",IFERROR(F8/D8,_xlfn.IFS(
LEN(F8)=5,SUM(MID(F8,1,SEARCH("+",F8,1)-1),MID(F8,SEARCH("+",F8,1)+1,2)),
LEN(F8)=8,SUM(MID(F8,1,SEARCH("+",F8,1)-1),MID(F8,SEARCH("+",F8,1)+1,2),MID(F8,SEARCH("+",F8,SEARCH("+",F8,1)+1)+1,2)),
LEN(F8)=11,SUM(MID(F8,1,SEARCH("+",F8,1)-1),MID(F8,SEARCH("+",F8,1)+1,2),MID(F8,SEARCH("+",F8,SEARCH("+",F8,1)+1)+1,2),MID(F8,SEARCH("+",F8,SEARCH("+",F8,1)+5)+1,2)))/D8)))</f>
        <v/>
      </c>
      <c r="J8" s="1" t="str">
        <f>IF(E8="Disciplinas Cursadas ","",IF(COUNTIF($E$8:$E$51,E8)&gt;1,"Disciplina Duplicada",""))</f>
        <v/>
      </c>
    </row>
    <row r="9" spans="1:10" x14ac:dyDescent="0.35">
      <c r="B9" s="24"/>
      <c r="C9" s="27" t="s">
        <v>138</v>
      </c>
      <c r="D9" s="32">
        <v>80</v>
      </c>
      <c r="E9" s="39"/>
      <c r="F9" s="26"/>
      <c r="G9" s="26" t="str">
        <f t="shared" si="0"/>
        <v>CURSAR</v>
      </c>
      <c r="I9" s="1" t="str">
        <f>IF(D9="C.H ","-",IF(ISBLANK(F9),"",IFERROR(F9/D9,_xlfn.IFS(
LEN(F9)=5,SUM(MID(F9,1,SEARCH("+",F9,1)-1),MID(F9,SEARCH("+",F9,1)+1,2)),
LEN(F9)=8,SUM(MID(F9,1,SEARCH("+",F9,1)-1),MID(F9,SEARCH("+",F9,1)+1,2),MID(F9,SEARCH("+",F9,SEARCH("+",F9,1)+1)+1,2)),
LEN(F9)=11,SUM(MID(F9,1,SEARCH("+",F9,1)-1),MID(F9,SEARCH("+",F9,1)+1,2),MID(F9,SEARCH("+",F9,SEARCH("+",F9,1)+1)+1,2),MID(F9,SEARCH("+",F9,SEARCH("+",F9,1)+5)+1,2)))/D9)))</f>
        <v/>
      </c>
      <c r="J9" s="1"/>
    </row>
    <row r="10" spans="1:10" x14ac:dyDescent="0.35">
      <c r="B10" s="24"/>
      <c r="C10" s="27" t="s">
        <v>139</v>
      </c>
      <c r="D10" s="32">
        <v>40</v>
      </c>
      <c r="E10" s="39"/>
      <c r="F10" s="26"/>
      <c r="G10" s="26" t="str">
        <f t="shared" si="0"/>
        <v>CURSAR</v>
      </c>
      <c r="I10" s="1" t="str">
        <f>IF(D10="C.H ","-",IF(ISBLANK(F10),"",IFERROR(F10/D10,_xlfn.IFS(
LEN(F10)=5,SUM(MID(F10,1,SEARCH("+",F10,1)-1),MID(F10,SEARCH("+",F10,1)+1,2)),
LEN(F10)=8,SUM(MID(F10,1,SEARCH("+",F10,1)-1),MID(F10,SEARCH("+",F10,1)+1,2),MID(F10,SEARCH("+",F10,SEARCH("+",F10,1)+1)+1,2)),
LEN(F10)=11,SUM(MID(F10,1,SEARCH("+",F10,1)-1),MID(F10,SEARCH("+",F10,1)+1,2),MID(F10,SEARCH("+",F10,SEARCH("+",F10,1)+1)+1,2),MID(F10,SEARCH("+",F10,SEARCH("+",F10,1)+5)+1,2)))/D10)))</f>
        <v/>
      </c>
      <c r="J10" s="1" t="str">
        <f>IF(E10="Disciplinas Cursadas ","",IF(COUNTIF($E$8:$E$51,E10)&gt;1,"Disciplina Duplicada",""))</f>
        <v/>
      </c>
    </row>
    <row r="11" spans="1:10" x14ac:dyDescent="0.35">
      <c r="B11" s="24"/>
      <c r="C11" s="27" t="s">
        <v>111</v>
      </c>
      <c r="D11" s="32">
        <v>80</v>
      </c>
      <c r="E11" s="39"/>
      <c r="F11" s="26"/>
      <c r="G11" s="26" t="str">
        <f t="shared" si="0"/>
        <v>CURSAR</v>
      </c>
      <c r="I11" s="1" t="str">
        <f t="shared" ref="I11:I55" si="1">IF(D11="C.H ","-",IF(ISBLANK(F11),"",IFERROR(F11/D11,_xlfn.IFS(
LEN(F11)=5,SUM(MID(F11,1,SEARCH("+",F11,1)-1),MID(F11,SEARCH("+",F11,1)+1,2)),
LEN(F11)=8,SUM(MID(F11,1,SEARCH("+",F11,1)-1),MID(F11,SEARCH("+",F11,1)+1,2),MID(F11,SEARCH("+",F11,SEARCH("+",F11,1)+1)+1,2)),
LEN(F11)=11,SUM(MID(F11,1,SEARCH("+",F11,1)-1),MID(F11,SEARCH("+",F11,1)+1,2),MID(F11,SEARCH("+",F11,SEARCH("+",F11,1)+1)+1,2),MID(F11,SEARCH("+",F11,SEARCH("+",F11,1)+5)+1,2)))/D11)))</f>
        <v/>
      </c>
      <c r="J11" s="1" t="str">
        <f>IF(E11="Disciplinas Cursadas ","",IF(COUNTIF($E$8:$E$51,E11)&gt;1,"Disciplina Duplicada",""))</f>
        <v/>
      </c>
    </row>
    <row r="12" spans="1:10" x14ac:dyDescent="0.35">
      <c r="B12" s="24"/>
      <c r="C12" s="25" t="s">
        <v>114</v>
      </c>
      <c r="D12" s="32">
        <v>80</v>
      </c>
      <c r="E12" s="39"/>
      <c r="F12" s="26"/>
      <c r="G12" s="26" t="str">
        <f t="shared" si="0"/>
        <v>CURSAR</v>
      </c>
      <c r="I12" s="1" t="str">
        <f t="shared" si="1"/>
        <v/>
      </c>
      <c r="J12" s="1"/>
    </row>
    <row r="13" spans="1:10" x14ac:dyDescent="0.35">
      <c r="B13" s="24"/>
      <c r="C13" s="25" t="s">
        <v>112</v>
      </c>
      <c r="D13" s="32">
        <v>80</v>
      </c>
      <c r="E13" s="39"/>
      <c r="F13" s="26"/>
      <c r="G13" s="26" t="str">
        <f t="shared" si="0"/>
        <v>CURSAR</v>
      </c>
      <c r="I13" s="1" t="str">
        <f t="shared" si="1"/>
        <v/>
      </c>
      <c r="J13" s="1" t="str">
        <f t="shared" ref="J13:J51" si="2">IF(E13="Disciplinas Cursadas ","",IF(COUNTIF($E$8:$E$51,E13)&gt;1,"Disciplina Duplicada",""))</f>
        <v/>
      </c>
    </row>
    <row r="14" spans="1:10" x14ac:dyDescent="0.35">
      <c r="B14" s="22" t="s">
        <v>4</v>
      </c>
      <c r="C14" s="22" t="s">
        <v>42</v>
      </c>
      <c r="D14" s="22" t="s">
        <v>6</v>
      </c>
      <c r="E14" s="22" t="s">
        <v>7</v>
      </c>
      <c r="F14" s="22" t="s">
        <v>8</v>
      </c>
      <c r="G14" s="22" t="s">
        <v>9</v>
      </c>
      <c r="I14" s="1" t="str">
        <f t="shared" si="1"/>
        <v>-</v>
      </c>
      <c r="J14" s="1" t="str">
        <f t="shared" si="2"/>
        <v/>
      </c>
    </row>
    <row r="15" spans="1:10" x14ac:dyDescent="0.35">
      <c r="B15" s="24" t="s">
        <v>10</v>
      </c>
      <c r="C15" s="27" t="s">
        <v>110</v>
      </c>
      <c r="D15" s="25">
        <v>80</v>
      </c>
      <c r="E15" s="39"/>
      <c r="F15" s="19"/>
      <c r="G15" s="26" t="str">
        <f>IF(ISBLANK(E15),"CURSAR","")</f>
        <v>CURSAR</v>
      </c>
      <c r="I15" s="1" t="str">
        <f t="shared" si="1"/>
        <v/>
      </c>
      <c r="J15" s="1" t="str">
        <f t="shared" si="2"/>
        <v/>
      </c>
    </row>
    <row r="16" spans="1:10" x14ac:dyDescent="0.35">
      <c r="B16" s="24"/>
      <c r="C16" s="27" t="s">
        <v>113</v>
      </c>
      <c r="D16" s="25">
        <v>80</v>
      </c>
      <c r="E16" s="40"/>
      <c r="F16" s="25"/>
      <c r="G16" s="26" t="str">
        <f t="shared" ref="G16:G25" si="3">IF(ISBLANK(E16),"CURSAR","")</f>
        <v>CURSAR</v>
      </c>
      <c r="I16" s="1" t="str">
        <f t="shared" si="1"/>
        <v/>
      </c>
      <c r="J16" s="1" t="str">
        <f t="shared" si="2"/>
        <v/>
      </c>
    </row>
    <row r="17" spans="2:10" x14ac:dyDescent="0.35">
      <c r="B17" s="24"/>
      <c r="C17" s="27" t="s">
        <v>53</v>
      </c>
      <c r="D17" s="25">
        <v>80</v>
      </c>
      <c r="E17" s="41"/>
      <c r="F17" s="26"/>
      <c r="G17" s="26" t="str">
        <f t="shared" si="3"/>
        <v>CURSAR</v>
      </c>
      <c r="I17" s="1" t="str">
        <f t="shared" si="1"/>
        <v/>
      </c>
      <c r="J17" s="1" t="str">
        <f t="shared" si="2"/>
        <v/>
      </c>
    </row>
    <row r="18" spans="2:10" x14ac:dyDescent="0.35">
      <c r="B18" s="24"/>
      <c r="C18" s="25" t="s">
        <v>67</v>
      </c>
      <c r="D18" s="25">
        <v>80</v>
      </c>
      <c r="E18" s="42"/>
      <c r="F18" s="20"/>
      <c r="G18" s="26" t="str">
        <f t="shared" si="3"/>
        <v>CURSAR</v>
      </c>
      <c r="I18" s="1" t="str">
        <f t="shared" si="1"/>
        <v/>
      </c>
      <c r="J18" s="1" t="str">
        <f t="shared" si="2"/>
        <v/>
      </c>
    </row>
    <row r="19" spans="2:10" x14ac:dyDescent="0.35">
      <c r="B19" s="24"/>
      <c r="C19" s="25" t="s">
        <v>115</v>
      </c>
      <c r="D19" s="25">
        <v>80</v>
      </c>
      <c r="E19" s="43"/>
      <c r="F19" s="26"/>
      <c r="G19" s="26" t="str">
        <f t="shared" si="3"/>
        <v>CURSAR</v>
      </c>
      <c r="I19" s="1" t="str">
        <f t="shared" si="1"/>
        <v/>
      </c>
      <c r="J19" s="1" t="str">
        <f t="shared" si="2"/>
        <v/>
      </c>
    </row>
    <row r="20" spans="2:10" x14ac:dyDescent="0.35">
      <c r="B20" s="22" t="s">
        <v>4</v>
      </c>
      <c r="C20" s="22" t="s">
        <v>48</v>
      </c>
      <c r="D20" s="22" t="s">
        <v>6</v>
      </c>
      <c r="E20" s="22" t="s">
        <v>7</v>
      </c>
      <c r="F20" s="22" t="s">
        <v>8</v>
      </c>
      <c r="G20" s="22" t="s">
        <v>9</v>
      </c>
      <c r="I20" s="1" t="str">
        <f t="shared" si="1"/>
        <v>-</v>
      </c>
      <c r="J20" s="1" t="str">
        <f t="shared" si="2"/>
        <v/>
      </c>
    </row>
    <row r="21" spans="2:10" x14ac:dyDescent="0.35">
      <c r="B21" s="24" t="s">
        <v>10</v>
      </c>
      <c r="C21" s="25" t="s">
        <v>86</v>
      </c>
      <c r="D21" s="25">
        <v>80</v>
      </c>
      <c r="F21" s="26"/>
      <c r="G21" s="26" t="str">
        <f t="shared" si="3"/>
        <v>CURSAR</v>
      </c>
      <c r="I21" s="1" t="str">
        <f t="shared" si="1"/>
        <v/>
      </c>
      <c r="J21" s="1" t="str">
        <f t="shared" si="2"/>
        <v/>
      </c>
    </row>
    <row r="22" spans="2:10" x14ac:dyDescent="0.35">
      <c r="B22" s="24"/>
      <c r="C22" s="25" t="s">
        <v>116</v>
      </c>
      <c r="D22" s="25">
        <v>80</v>
      </c>
      <c r="E22" s="44"/>
      <c r="F22" s="26"/>
      <c r="G22" s="26" t="str">
        <f t="shared" si="3"/>
        <v>CURSAR</v>
      </c>
      <c r="I22" s="1" t="str">
        <f t="shared" si="1"/>
        <v/>
      </c>
      <c r="J22" s="1" t="str">
        <f t="shared" si="2"/>
        <v/>
      </c>
    </row>
    <row r="23" spans="2:10" x14ac:dyDescent="0.35">
      <c r="B23" s="24"/>
      <c r="C23" s="25" t="s">
        <v>57</v>
      </c>
      <c r="D23" s="25">
        <v>80</v>
      </c>
      <c r="E23" s="44"/>
      <c r="F23" s="26"/>
      <c r="G23" s="26" t="str">
        <f t="shared" si="3"/>
        <v>CURSAR</v>
      </c>
      <c r="I23" s="1" t="str">
        <f t="shared" si="1"/>
        <v/>
      </c>
      <c r="J23" s="1" t="str">
        <f t="shared" si="2"/>
        <v/>
      </c>
    </row>
    <row r="24" spans="2:10" x14ac:dyDescent="0.35">
      <c r="B24" s="24"/>
      <c r="C24" s="25" t="s">
        <v>117</v>
      </c>
      <c r="D24" s="25">
        <v>80</v>
      </c>
      <c r="E24" s="44"/>
      <c r="F24" s="26"/>
      <c r="G24" s="26" t="str">
        <f t="shared" si="3"/>
        <v>CURSAR</v>
      </c>
      <c r="I24" s="1" t="str">
        <f t="shared" si="1"/>
        <v/>
      </c>
      <c r="J24" s="1" t="str">
        <f t="shared" si="2"/>
        <v/>
      </c>
    </row>
    <row r="25" spans="2:10" x14ac:dyDescent="0.35">
      <c r="B25" s="24"/>
      <c r="C25" s="25" t="s">
        <v>118</v>
      </c>
      <c r="D25" s="25">
        <v>80</v>
      </c>
      <c r="F25" s="26"/>
      <c r="G25" s="26" t="str">
        <f t="shared" si="3"/>
        <v>CURSAR</v>
      </c>
      <c r="I25" s="1" t="str">
        <f t="shared" si="1"/>
        <v/>
      </c>
      <c r="J25" s="1" t="str">
        <f t="shared" si="2"/>
        <v/>
      </c>
    </row>
    <row r="26" spans="2:10" x14ac:dyDescent="0.35">
      <c r="B26" s="22" t="s">
        <v>4</v>
      </c>
      <c r="C26" s="22" t="s">
        <v>54</v>
      </c>
      <c r="D26" s="22" t="s">
        <v>6</v>
      </c>
      <c r="E26" s="22" t="s">
        <v>7</v>
      </c>
      <c r="F26" s="22" t="s">
        <v>8</v>
      </c>
      <c r="G26" s="22" t="s">
        <v>9</v>
      </c>
      <c r="I26" s="1" t="str">
        <f t="shared" si="1"/>
        <v>-</v>
      </c>
      <c r="J26" s="1" t="str">
        <f t="shared" si="2"/>
        <v/>
      </c>
    </row>
    <row r="27" spans="2:10" x14ac:dyDescent="0.35">
      <c r="B27" s="32" t="s">
        <v>10</v>
      </c>
      <c r="C27" s="32" t="s">
        <v>89</v>
      </c>
      <c r="D27" s="32">
        <v>80</v>
      </c>
      <c r="E27" s="32"/>
      <c r="F27" s="26"/>
      <c r="G27" s="26" t="str">
        <f t="shared" ref="G27:G31" si="4">IF(ISBLANK(E27),"CURSAR","")</f>
        <v>CURSAR</v>
      </c>
      <c r="I27" s="1" t="str">
        <f t="shared" si="1"/>
        <v/>
      </c>
      <c r="J27" s="1" t="str">
        <f t="shared" si="2"/>
        <v/>
      </c>
    </row>
    <row r="28" spans="2:10" x14ac:dyDescent="0.35">
      <c r="B28" s="32"/>
      <c r="C28" s="33" t="s">
        <v>119</v>
      </c>
      <c r="D28" s="32">
        <v>80</v>
      </c>
      <c r="E28" s="32"/>
      <c r="F28" s="26"/>
      <c r="G28" s="26" t="str">
        <f t="shared" si="4"/>
        <v>CURSAR</v>
      </c>
      <c r="I28" s="1" t="str">
        <f t="shared" si="1"/>
        <v/>
      </c>
      <c r="J28" s="1" t="str">
        <f t="shared" si="2"/>
        <v/>
      </c>
    </row>
    <row r="29" spans="2:10" x14ac:dyDescent="0.35">
      <c r="B29" s="32"/>
      <c r="C29" s="32" t="s">
        <v>63</v>
      </c>
      <c r="D29" s="32">
        <v>80</v>
      </c>
      <c r="E29" s="30"/>
      <c r="F29" s="26"/>
      <c r="G29" s="26" t="str">
        <f t="shared" si="4"/>
        <v>CURSAR</v>
      </c>
      <c r="I29" s="1" t="str">
        <f t="shared" si="1"/>
        <v/>
      </c>
      <c r="J29" s="1" t="str">
        <f t="shared" si="2"/>
        <v/>
      </c>
    </row>
    <row r="30" spans="2:10" x14ac:dyDescent="0.35">
      <c r="B30" s="32"/>
      <c r="C30" s="32" t="s">
        <v>120</v>
      </c>
      <c r="D30" s="32">
        <v>80</v>
      </c>
      <c r="E30" s="30"/>
      <c r="F30" s="26"/>
      <c r="G30" s="26" t="str">
        <f t="shared" si="4"/>
        <v>CURSAR</v>
      </c>
      <c r="I30" s="1" t="str">
        <f t="shared" si="1"/>
        <v/>
      </c>
      <c r="J30" s="1" t="str">
        <f t="shared" si="2"/>
        <v/>
      </c>
    </row>
    <row r="31" spans="2:10" x14ac:dyDescent="0.35">
      <c r="B31" s="32"/>
      <c r="C31" s="32" t="s">
        <v>121</v>
      </c>
      <c r="D31" s="32">
        <v>80</v>
      </c>
      <c r="E31" s="32"/>
      <c r="F31" s="26"/>
      <c r="G31" s="26" t="str">
        <f t="shared" si="4"/>
        <v>CURSAR</v>
      </c>
      <c r="I31" s="1" t="str">
        <f t="shared" si="1"/>
        <v/>
      </c>
      <c r="J31" s="1" t="str">
        <f t="shared" si="2"/>
        <v/>
      </c>
    </row>
    <row r="32" spans="2:10" x14ac:dyDescent="0.35">
      <c r="B32" s="22" t="s">
        <v>4</v>
      </c>
      <c r="C32" s="22" t="s">
        <v>60</v>
      </c>
      <c r="D32" s="22" t="s">
        <v>6</v>
      </c>
      <c r="E32" s="22" t="s">
        <v>7</v>
      </c>
      <c r="F32" s="22" t="s">
        <v>8</v>
      </c>
      <c r="G32" s="22" t="s">
        <v>9</v>
      </c>
      <c r="I32" s="1" t="str">
        <f t="shared" si="1"/>
        <v>-</v>
      </c>
      <c r="J32" s="1" t="str">
        <f t="shared" si="2"/>
        <v/>
      </c>
    </row>
    <row r="33" spans="2:10" x14ac:dyDescent="0.35">
      <c r="B33" s="32"/>
      <c r="C33" s="32" t="s">
        <v>122</v>
      </c>
      <c r="D33" s="32">
        <v>80</v>
      </c>
      <c r="E33" s="32"/>
      <c r="F33" s="26"/>
      <c r="G33" s="26" t="str">
        <f t="shared" ref="G33:G41" si="5">IF(ISBLANK(E33),"CURSAR","")</f>
        <v>CURSAR</v>
      </c>
      <c r="I33" s="1" t="str">
        <f t="shared" si="1"/>
        <v/>
      </c>
      <c r="J33" s="1" t="str">
        <f t="shared" si="2"/>
        <v/>
      </c>
    </row>
    <row r="34" spans="2:10" x14ac:dyDescent="0.35">
      <c r="B34" s="32"/>
      <c r="C34" s="32" t="s">
        <v>124</v>
      </c>
      <c r="D34" s="32">
        <v>80</v>
      </c>
      <c r="E34" s="32"/>
      <c r="F34" s="26"/>
      <c r="G34" s="26" t="str">
        <f t="shared" si="5"/>
        <v>CURSAR</v>
      </c>
      <c r="I34" s="1" t="str">
        <f t="shared" si="1"/>
        <v/>
      </c>
      <c r="J34" s="1" t="str">
        <f t="shared" si="2"/>
        <v/>
      </c>
    </row>
    <row r="35" spans="2:10" x14ac:dyDescent="0.35">
      <c r="B35" s="32"/>
      <c r="C35" s="32" t="s">
        <v>50</v>
      </c>
      <c r="D35" s="32">
        <v>80</v>
      </c>
      <c r="E35" s="32"/>
      <c r="F35" s="26"/>
      <c r="G35" s="26" t="str">
        <f t="shared" si="5"/>
        <v>CURSAR</v>
      </c>
      <c r="I35" s="1" t="str">
        <f t="shared" si="1"/>
        <v/>
      </c>
      <c r="J35" s="1" t="str">
        <f t="shared" si="2"/>
        <v/>
      </c>
    </row>
    <row r="36" spans="2:10" x14ac:dyDescent="0.35">
      <c r="B36" s="32"/>
      <c r="C36" s="32" t="s">
        <v>123</v>
      </c>
      <c r="D36" s="32">
        <v>80</v>
      </c>
      <c r="E36" s="32"/>
      <c r="F36" s="26"/>
      <c r="G36" s="26" t="str">
        <f t="shared" si="5"/>
        <v>CURSAR</v>
      </c>
      <c r="I36" s="1" t="str">
        <f t="shared" si="1"/>
        <v/>
      </c>
      <c r="J36" s="1" t="str">
        <f t="shared" si="2"/>
        <v/>
      </c>
    </row>
    <row r="37" spans="2:10" x14ac:dyDescent="0.35">
      <c r="B37" s="22" t="s">
        <v>4</v>
      </c>
      <c r="C37" s="22" t="s">
        <v>66</v>
      </c>
      <c r="D37" s="22" t="s">
        <v>6</v>
      </c>
      <c r="E37" s="22" t="s">
        <v>7</v>
      </c>
      <c r="F37" s="22" t="s">
        <v>8</v>
      </c>
      <c r="G37" s="22" t="s">
        <v>9</v>
      </c>
      <c r="I37" s="1" t="str">
        <f t="shared" si="1"/>
        <v>-</v>
      </c>
      <c r="J37" s="1" t="str">
        <f t="shared" si="2"/>
        <v/>
      </c>
    </row>
    <row r="38" spans="2:10" x14ac:dyDescent="0.35">
      <c r="B38" s="32"/>
      <c r="C38" s="32" t="s">
        <v>127</v>
      </c>
      <c r="D38" s="32">
        <v>80</v>
      </c>
      <c r="E38" s="32"/>
      <c r="F38" s="26"/>
      <c r="G38" s="26" t="str">
        <f t="shared" si="5"/>
        <v>CURSAR</v>
      </c>
      <c r="I38" s="1" t="str">
        <f t="shared" si="1"/>
        <v/>
      </c>
      <c r="J38" s="1" t="str">
        <f t="shared" si="2"/>
        <v/>
      </c>
    </row>
    <row r="39" spans="2:10" x14ac:dyDescent="0.35">
      <c r="B39" s="32"/>
      <c r="C39" s="32" t="s">
        <v>125</v>
      </c>
      <c r="D39" s="32">
        <v>80</v>
      </c>
      <c r="E39" s="32"/>
      <c r="F39" s="26"/>
      <c r="G39" s="26" t="str">
        <f t="shared" si="5"/>
        <v>CURSAR</v>
      </c>
      <c r="I39" s="1" t="str">
        <f t="shared" si="1"/>
        <v/>
      </c>
      <c r="J39" s="1" t="str">
        <f t="shared" si="2"/>
        <v/>
      </c>
    </row>
    <row r="40" spans="2:10" x14ac:dyDescent="0.35">
      <c r="B40" s="32"/>
      <c r="C40" s="32" t="s">
        <v>126</v>
      </c>
      <c r="D40" s="32">
        <v>80</v>
      </c>
      <c r="E40" s="32"/>
      <c r="F40" s="26"/>
      <c r="G40" s="26" t="str">
        <f t="shared" si="5"/>
        <v>CURSAR</v>
      </c>
      <c r="I40" s="1" t="str">
        <f t="shared" si="1"/>
        <v/>
      </c>
      <c r="J40" s="1" t="str">
        <f t="shared" si="2"/>
        <v/>
      </c>
    </row>
    <row r="41" spans="2:10" x14ac:dyDescent="0.35">
      <c r="B41" s="32"/>
      <c r="C41" s="33" t="s">
        <v>45</v>
      </c>
      <c r="D41" s="32">
        <v>80</v>
      </c>
      <c r="E41" s="32"/>
      <c r="F41" s="26"/>
      <c r="G41" s="26" t="str">
        <f t="shared" si="5"/>
        <v>CURSAR</v>
      </c>
      <c r="I41" s="1" t="str">
        <f t="shared" si="1"/>
        <v/>
      </c>
      <c r="J41" s="1" t="str">
        <f t="shared" si="2"/>
        <v/>
      </c>
    </row>
    <row r="42" spans="2:10" x14ac:dyDescent="0.35">
      <c r="B42" s="22" t="s">
        <v>4</v>
      </c>
      <c r="C42" s="22" t="s">
        <v>72</v>
      </c>
      <c r="D42" s="22" t="s">
        <v>6</v>
      </c>
      <c r="E42" s="22" t="s">
        <v>7</v>
      </c>
      <c r="F42" s="22" t="s">
        <v>8</v>
      </c>
      <c r="G42" s="22" t="s">
        <v>9</v>
      </c>
      <c r="I42" s="1" t="str">
        <f t="shared" si="1"/>
        <v>-</v>
      </c>
      <c r="J42" s="1" t="str">
        <f t="shared" si="2"/>
        <v/>
      </c>
    </row>
    <row r="43" spans="2:10" x14ac:dyDescent="0.35">
      <c r="B43" s="32"/>
      <c r="C43" s="32" t="s">
        <v>128</v>
      </c>
      <c r="D43" s="32">
        <v>80</v>
      </c>
      <c r="E43" s="32"/>
      <c r="F43" s="26"/>
      <c r="G43" s="26" t="str">
        <f t="shared" ref="G43:G46" si="6">IF(ISBLANK(E43),"CURSAR","")</f>
        <v>CURSAR</v>
      </c>
      <c r="I43" s="1" t="str">
        <f t="shared" si="1"/>
        <v/>
      </c>
      <c r="J43" s="1" t="str">
        <f t="shared" si="2"/>
        <v/>
      </c>
    </row>
    <row r="44" spans="2:10" x14ac:dyDescent="0.35">
      <c r="B44" s="32"/>
      <c r="C44" s="33" t="s">
        <v>129</v>
      </c>
      <c r="D44" s="32">
        <v>80</v>
      </c>
      <c r="E44" s="32"/>
      <c r="F44" s="26"/>
      <c r="G44" s="26" t="str">
        <f t="shared" si="6"/>
        <v>CURSAR</v>
      </c>
      <c r="I44" s="1" t="str">
        <f t="shared" si="1"/>
        <v/>
      </c>
      <c r="J44" s="1" t="str">
        <f t="shared" si="2"/>
        <v/>
      </c>
    </row>
    <row r="45" spans="2:10" x14ac:dyDescent="0.35">
      <c r="B45" s="32"/>
      <c r="C45" s="32" t="s">
        <v>130</v>
      </c>
      <c r="D45" s="32">
        <v>80</v>
      </c>
      <c r="E45" s="30"/>
      <c r="F45" s="26"/>
      <c r="G45" s="26" t="str">
        <f t="shared" si="6"/>
        <v>CURSAR</v>
      </c>
      <c r="I45" s="1" t="str">
        <f t="shared" si="1"/>
        <v/>
      </c>
      <c r="J45" s="1" t="str">
        <f t="shared" si="2"/>
        <v/>
      </c>
    </row>
    <row r="46" spans="2:10" x14ac:dyDescent="0.35">
      <c r="B46" s="32"/>
      <c r="C46" s="32" t="s">
        <v>131</v>
      </c>
      <c r="D46" s="32">
        <v>80</v>
      </c>
      <c r="E46" s="32"/>
      <c r="F46" s="26"/>
      <c r="G46" s="26" t="str">
        <f t="shared" si="6"/>
        <v>CURSAR</v>
      </c>
      <c r="I46" s="1" t="str">
        <f t="shared" si="1"/>
        <v/>
      </c>
      <c r="J46" s="1" t="str">
        <f t="shared" si="2"/>
        <v/>
      </c>
    </row>
    <row r="47" spans="2:10" x14ac:dyDescent="0.35">
      <c r="B47" s="22" t="s">
        <v>4</v>
      </c>
      <c r="C47" s="22" t="s">
        <v>78</v>
      </c>
      <c r="D47" s="22" t="s">
        <v>6</v>
      </c>
      <c r="E47" s="22" t="s">
        <v>7</v>
      </c>
      <c r="F47" s="22" t="s">
        <v>8</v>
      </c>
      <c r="G47" s="22" t="s">
        <v>9</v>
      </c>
      <c r="I47" s="1" t="str">
        <f t="shared" si="1"/>
        <v>-</v>
      </c>
      <c r="J47" s="1" t="str">
        <f t="shared" si="2"/>
        <v/>
      </c>
    </row>
    <row r="48" spans="2:10" x14ac:dyDescent="0.35">
      <c r="B48" s="32"/>
      <c r="C48" s="32" t="s">
        <v>134</v>
      </c>
      <c r="D48" s="32">
        <v>80</v>
      </c>
      <c r="E48" s="32"/>
      <c r="F48" s="26"/>
      <c r="G48" s="26" t="str">
        <f t="shared" ref="G48:G51" si="7">IF(ISBLANK(E48),"CURSAR","")</f>
        <v>CURSAR</v>
      </c>
      <c r="I48" s="1" t="str">
        <f t="shared" si="1"/>
        <v/>
      </c>
      <c r="J48" s="1" t="str">
        <f t="shared" si="2"/>
        <v/>
      </c>
    </row>
    <row r="49" spans="2:10" x14ac:dyDescent="0.35">
      <c r="B49" s="32"/>
      <c r="C49" s="32" t="s">
        <v>132</v>
      </c>
      <c r="D49" s="32">
        <v>80</v>
      </c>
      <c r="E49" s="30"/>
      <c r="F49" s="26"/>
      <c r="G49" s="26" t="str">
        <f t="shared" si="7"/>
        <v>CURSAR</v>
      </c>
      <c r="I49" s="1" t="str">
        <f t="shared" si="1"/>
        <v/>
      </c>
      <c r="J49" s="1" t="str">
        <f t="shared" si="2"/>
        <v/>
      </c>
    </row>
    <row r="50" spans="2:10" x14ac:dyDescent="0.35">
      <c r="B50" s="32"/>
      <c r="C50" s="32" t="s">
        <v>133</v>
      </c>
      <c r="D50" s="32">
        <v>80</v>
      </c>
      <c r="E50" s="32"/>
      <c r="F50" s="26"/>
      <c r="G50" s="26" t="str">
        <f t="shared" si="7"/>
        <v>CURSAR</v>
      </c>
      <c r="I50" s="1" t="str">
        <f t="shared" si="1"/>
        <v/>
      </c>
      <c r="J50" s="1" t="str">
        <f t="shared" si="2"/>
        <v/>
      </c>
    </row>
    <row r="51" spans="2:10" x14ac:dyDescent="0.35">
      <c r="B51" s="32"/>
      <c r="C51" s="32" t="s">
        <v>140</v>
      </c>
      <c r="D51" s="32">
        <v>32</v>
      </c>
      <c r="E51" s="32"/>
      <c r="F51" s="26"/>
      <c r="G51" s="26" t="str">
        <f t="shared" si="7"/>
        <v>CURSAR</v>
      </c>
      <c r="I51" s="1" t="str">
        <f t="shared" si="1"/>
        <v/>
      </c>
      <c r="J51" s="1" t="str">
        <f t="shared" si="2"/>
        <v/>
      </c>
    </row>
    <row r="52" spans="2:10" x14ac:dyDescent="0.35">
      <c r="B52" s="107" t="s">
        <v>30</v>
      </c>
      <c r="C52" s="107"/>
      <c r="D52" s="107"/>
      <c r="E52" s="107"/>
      <c r="F52" s="107"/>
      <c r="G52" s="107"/>
      <c r="I52" s="1" t="str">
        <f t="shared" si="1"/>
        <v/>
      </c>
    </row>
    <row r="53" spans="2:10" x14ac:dyDescent="0.35">
      <c r="B53" s="3"/>
      <c r="E53" s="5" t="s">
        <v>31</v>
      </c>
      <c r="G53" s="4"/>
      <c r="I53" s="1" t="str">
        <f t="shared" si="1"/>
        <v/>
      </c>
    </row>
    <row r="54" spans="2:10" x14ac:dyDescent="0.35">
      <c r="B54" s="78" t="str">
        <f>CONCATENATE("Segue análise curricular atualizada. Aproveitamento de estudos com base no Histórico da ",$J$2," do curso ",$J$3,". O estudante deve ser matriculado no ",$J$4,"º semestre do curso de ADMINISTRAÇÃO.  Atenciosamente, Acadêmico")</f>
        <v>Segue análise curricular atualizada. Aproveitamento de estudos com base no Histórico da  do curso . O estudante deve ser matriculado no º semestre do curso de ADMINISTRAÇÃO.  Atenciosamente, Acadêmico</v>
      </c>
      <c r="C54" s="79"/>
      <c r="D54" s="79"/>
      <c r="E54" s="79"/>
      <c r="F54" s="79"/>
      <c r="G54" s="80"/>
      <c r="I54" s="1" t="str">
        <f t="shared" si="1"/>
        <v/>
      </c>
    </row>
    <row r="55" spans="2:10" x14ac:dyDescent="0.35">
      <c r="B55" s="81"/>
      <c r="C55" s="82"/>
      <c r="D55" s="82"/>
      <c r="E55" s="82"/>
      <c r="F55" s="82"/>
      <c r="G55" s="83"/>
      <c r="I55" s="1" t="str">
        <f t="shared" si="1"/>
        <v/>
      </c>
    </row>
    <row r="56" spans="2:10" x14ac:dyDescent="0.35">
      <c r="B56" s="84"/>
      <c r="C56" s="85"/>
      <c r="D56" s="85"/>
      <c r="E56" s="85"/>
      <c r="F56" s="85"/>
      <c r="G56" s="86"/>
    </row>
    <row r="57" spans="2:10" x14ac:dyDescent="0.35">
      <c r="B57" s="3"/>
      <c r="G57" s="4"/>
    </row>
    <row r="58" spans="2:10" x14ac:dyDescent="0.35">
      <c r="B58" s="35" t="s">
        <v>32</v>
      </c>
      <c r="C58" s="36">
        <f ca="1">TODAY()</f>
        <v>45135</v>
      </c>
      <c r="E58" s="87" t="s">
        <v>83</v>
      </c>
      <c r="F58" s="87"/>
      <c r="G58" s="88"/>
    </row>
    <row r="59" spans="2:10" x14ac:dyDescent="0.35">
      <c r="B59" s="37"/>
      <c r="C59" s="38"/>
      <c r="G59" s="4"/>
    </row>
    <row r="60" spans="2:10" x14ac:dyDescent="0.35">
      <c r="B60" s="89" t="s">
        <v>84</v>
      </c>
      <c r="C60" s="90"/>
      <c r="D60" s="90"/>
      <c r="E60" s="90"/>
      <c r="F60" s="90"/>
      <c r="G60" s="91"/>
    </row>
  </sheetData>
  <mergeCells count="8">
    <mergeCell ref="I7:J7"/>
    <mergeCell ref="B52:G52"/>
    <mergeCell ref="B54:G56"/>
    <mergeCell ref="E58:G58"/>
    <mergeCell ref="B60:G60"/>
    <mergeCell ref="B2:G3"/>
    <mergeCell ref="B4:G4"/>
    <mergeCell ref="C5:G5"/>
  </mergeCells>
  <conditionalFormatting sqref="I8:I55">
    <cfRule type="cellIs" dxfId="1" priority="2" operator="lessThan">
      <formula>0.75</formula>
    </cfRule>
  </conditionalFormatting>
  <conditionalFormatting sqref="J8:J51">
    <cfRule type="containsText" dxfId="0" priority="1" operator="containsText" text="Duplicada">
      <formula>NOT(ISERROR(SEARCH("Duplicada",J8)))</formula>
    </cfRule>
  </conditionalFormatting>
  <pageMargins left="0.7" right="0.7" top="0.75" bottom="0.75" header="0.3" footer="0.3"/>
  <pageSetup paperSize="9" scale="44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8203" r:id="rId4" name="TXTSEM">
          <controlPr defaultSize="0" autoLine="0" autoPict="0" r:id="rId5">
            <anchor moveWithCells="1">
              <from>
                <xdr:col>9</xdr:col>
                <xdr:colOff>419100</xdr:colOff>
                <xdr:row>4</xdr:row>
                <xdr:rowOff>146050</xdr:rowOff>
              </from>
              <to>
                <xdr:col>13</xdr:col>
                <xdr:colOff>412750</xdr:colOff>
                <xdr:row>5</xdr:row>
                <xdr:rowOff>190500</xdr:rowOff>
              </to>
            </anchor>
          </controlPr>
        </control>
      </mc:Choice>
      <mc:Fallback>
        <control shapeId="8203" r:id="rId4" name="TXTSEM"/>
      </mc:Fallback>
    </mc:AlternateContent>
    <mc:AlternateContent xmlns:mc="http://schemas.openxmlformats.org/markup-compatibility/2006">
      <mc:Choice Requires="x14">
        <control shapeId="8202" r:id="rId6" name="TXTCURSO">
          <controlPr defaultSize="0" autoLine="0" autoPict="0" r:id="rId5">
            <anchor moveWithCells="1">
              <from>
                <xdr:col>9</xdr:col>
                <xdr:colOff>419100</xdr:colOff>
                <xdr:row>3</xdr:row>
                <xdr:rowOff>6350</xdr:rowOff>
              </from>
              <to>
                <xdr:col>13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8202" r:id="rId6" name="TXTCURSO"/>
      </mc:Fallback>
    </mc:AlternateContent>
    <mc:AlternateContent xmlns:mc="http://schemas.openxmlformats.org/markup-compatibility/2006">
      <mc:Choice Requires="x14">
        <control shapeId="8201" r:id="rId7" name="TXTIES">
          <controlPr defaultSize="0" autoLine="0" autoPict="0" r:id="rId5">
            <anchor moveWithCells="1">
              <from>
                <xdr:col>9</xdr:col>
                <xdr:colOff>431800</xdr:colOff>
                <xdr:row>2</xdr:row>
                <xdr:rowOff>190500</xdr:rowOff>
              </from>
              <to>
                <xdr:col>13</xdr:col>
                <xdr:colOff>419100</xdr:colOff>
                <xdr:row>2</xdr:row>
                <xdr:rowOff>425450</xdr:rowOff>
              </to>
            </anchor>
          </controlPr>
        </control>
      </mc:Choice>
      <mc:Fallback>
        <control shapeId="8201" r:id="rId7" name="TXTIES"/>
      </mc:Fallback>
    </mc:AlternateContent>
    <mc:AlternateContent xmlns:mc="http://schemas.openxmlformats.org/markup-compatibility/2006">
      <mc:Choice Requires="x14">
        <control shapeId="8200" r:id="rId8" name="CBXReanáliseDisp">
          <controlPr defaultSize="0" autoLine="0" r:id="rId9">
            <anchor moveWithCells="1">
              <from>
                <xdr:col>5</xdr:col>
                <xdr:colOff>0</xdr:colOff>
                <xdr:row>5</xdr:row>
                <xdr:rowOff>114300</xdr:rowOff>
              </from>
              <to>
                <xdr:col>6</xdr:col>
                <xdr:colOff>450850</xdr:colOff>
                <xdr:row>5</xdr:row>
                <xdr:rowOff>476250</xdr:rowOff>
              </to>
            </anchor>
          </controlPr>
        </control>
      </mc:Choice>
      <mc:Fallback>
        <control shapeId="8200" r:id="rId8" name="CBXReanáliseDisp"/>
      </mc:Fallback>
    </mc:AlternateContent>
    <mc:AlternateContent xmlns:mc="http://schemas.openxmlformats.org/markup-compatibility/2006">
      <mc:Choice Requires="x14">
        <control shapeId="8199" r:id="rId10" name="CBXTransfdeCurso">
          <controlPr defaultSize="0" autoLine="0" r:id="rId11">
            <anchor moveWithCells="1">
              <from>
                <xdr:col>2</xdr:col>
                <xdr:colOff>1708150</xdr:colOff>
                <xdr:row>5</xdr:row>
                <xdr:rowOff>114300</xdr:rowOff>
              </from>
              <to>
                <xdr:col>2</xdr:col>
                <xdr:colOff>2717800</xdr:colOff>
                <xdr:row>5</xdr:row>
                <xdr:rowOff>476250</xdr:rowOff>
              </to>
            </anchor>
          </controlPr>
        </control>
      </mc:Choice>
      <mc:Fallback>
        <control shapeId="8199" r:id="rId10" name="CBXTransfdeCurso"/>
      </mc:Fallback>
    </mc:AlternateContent>
    <mc:AlternateContent xmlns:mc="http://schemas.openxmlformats.org/markup-compatibility/2006">
      <mc:Choice Requires="x14">
        <control shapeId="8198" r:id="rId12" name="CBXDispdeDisciplina">
          <controlPr defaultSize="0" autoLine="0" r:id="rId13">
            <anchor moveWithCells="1">
              <from>
                <xdr:col>4</xdr:col>
                <xdr:colOff>2190750</xdr:colOff>
                <xdr:row>5</xdr:row>
                <xdr:rowOff>114300</xdr:rowOff>
              </from>
              <to>
                <xdr:col>4</xdr:col>
                <xdr:colOff>3200400</xdr:colOff>
                <xdr:row>5</xdr:row>
                <xdr:rowOff>476250</xdr:rowOff>
              </to>
            </anchor>
          </controlPr>
        </control>
      </mc:Choice>
      <mc:Fallback>
        <control shapeId="8198" r:id="rId12" name="CBXDispdeDisciplina"/>
      </mc:Fallback>
    </mc:AlternateContent>
    <mc:AlternateContent xmlns:mc="http://schemas.openxmlformats.org/markup-compatibility/2006">
      <mc:Choice Requires="x14">
        <control shapeId="8197" r:id="rId14" name="CBXPortdeDiploma">
          <controlPr defaultSize="0" autoLine="0" r:id="rId15">
            <anchor moveWithCells="1">
              <from>
                <xdr:col>4</xdr:col>
                <xdr:colOff>1352550</xdr:colOff>
                <xdr:row>5</xdr:row>
                <xdr:rowOff>114300</xdr:rowOff>
              </from>
              <to>
                <xdr:col>4</xdr:col>
                <xdr:colOff>2298700</xdr:colOff>
                <xdr:row>5</xdr:row>
                <xdr:rowOff>476250</xdr:rowOff>
              </to>
            </anchor>
          </controlPr>
        </control>
      </mc:Choice>
      <mc:Fallback>
        <control shapeId="8197" r:id="rId14" name="CBXPortdeDiploma"/>
      </mc:Fallback>
    </mc:AlternateContent>
    <mc:AlternateContent xmlns:mc="http://schemas.openxmlformats.org/markup-compatibility/2006">
      <mc:Choice Requires="x14">
        <control shapeId="8196" r:id="rId16" name="CBXReanalisedeReingresso">
          <controlPr defaultSize="0" autoLine="0" r:id="rId17">
            <anchor moveWithCells="1">
              <from>
                <xdr:col>4</xdr:col>
                <xdr:colOff>165100</xdr:colOff>
                <xdr:row>5</xdr:row>
                <xdr:rowOff>114300</xdr:rowOff>
              </from>
              <to>
                <xdr:col>4</xdr:col>
                <xdr:colOff>1174750</xdr:colOff>
                <xdr:row>5</xdr:row>
                <xdr:rowOff>476250</xdr:rowOff>
              </to>
            </anchor>
          </controlPr>
        </control>
      </mc:Choice>
      <mc:Fallback>
        <control shapeId="8196" r:id="rId16" name="CBXReanalisedeReingresso"/>
      </mc:Fallback>
    </mc:AlternateContent>
    <mc:AlternateContent xmlns:mc="http://schemas.openxmlformats.org/markup-compatibility/2006">
      <mc:Choice Requires="x14">
        <control shapeId="8195" r:id="rId18" name="CBXReingressoReabertura">
          <controlPr defaultSize="0" autoLine="0" r:id="rId19">
            <anchor moveWithCells="1">
              <from>
                <xdr:col>2</xdr:col>
                <xdr:colOff>2762250</xdr:colOff>
                <xdr:row>5</xdr:row>
                <xdr:rowOff>114300</xdr:rowOff>
              </from>
              <to>
                <xdr:col>4</xdr:col>
                <xdr:colOff>127000</xdr:colOff>
                <xdr:row>5</xdr:row>
                <xdr:rowOff>476250</xdr:rowOff>
              </to>
            </anchor>
          </controlPr>
        </control>
      </mc:Choice>
      <mc:Fallback>
        <control shapeId="8195" r:id="rId18" name="CBXReingressoReabertura"/>
      </mc:Fallback>
    </mc:AlternateContent>
    <mc:AlternateContent xmlns:mc="http://schemas.openxmlformats.org/markup-compatibility/2006">
      <mc:Choice Requires="x14">
        <control shapeId="8194" r:id="rId20" name="CBXTransfInterna">
          <controlPr defaultSize="0" autoLine="0" r:id="rId21">
            <anchor moveWithCells="1">
              <from>
                <xdr:col>2</xdr:col>
                <xdr:colOff>800100</xdr:colOff>
                <xdr:row>5</xdr:row>
                <xdr:rowOff>114300</xdr:rowOff>
              </from>
              <to>
                <xdr:col>2</xdr:col>
                <xdr:colOff>1809750</xdr:colOff>
                <xdr:row>5</xdr:row>
                <xdr:rowOff>476250</xdr:rowOff>
              </to>
            </anchor>
          </controlPr>
        </control>
      </mc:Choice>
      <mc:Fallback>
        <control shapeId="8194" r:id="rId20" name="CBXTransfInterna"/>
      </mc:Fallback>
    </mc:AlternateContent>
    <mc:AlternateContent xmlns:mc="http://schemas.openxmlformats.org/markup-compatibility/2006">
      <mc:Choice Requires="x14">
        <control shapeId="8193" r:id="rId22" name="CBXTransfExterna">
          <controlPr defaultSize="0" autoLine="0" r:id="rId23">
            <anchor moveWithCells="1">
              <from>
                <xdr:col>1</xdr:col>
                <xdr:colOff>171450</xdr:colOff>
                <xdr:row>5</xdr:row>
                <xdr:rowOff>114300</xdr:rowOff>
              </from>
              <to>
                <xdr:col>2</xdr:col>
                <xdr:colOff>742950</xdr:colOff>
                <xdr:row>5</xdr:row>
                <xdr:rowOff>476250</xdr:rowOff>
              </to>
            </anchor>
          </controlPr>
        </control>
      </mc:Choice>
      <mc:Fallback>
        <control shapeId="8193" r:id="rId22" name="CBXTransfExterna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416CC90E592847B2DEB471231AB5C5" ma:contentTypeVersion="19" ma:contentTypeDescription="Create a new document." ma:contentTypeScope="" ma:versionID="5e34bf7669416ab4994a82976a48f9ae">
  <xsd:schema xmlns:xsd="http://www.w3.org/2001/XMLSchema" xmlns:xs="http://www.w3.org/2001/XMLSchema" xmlns:p="http://schemas.microsoft.com/office/2006/metadata/properties" xmlns:ns1="http://schemas.microsoft.com/sharepoint/v3" xmlns:ns2="0d17cf8a-3704-4646-9883-959422c155c4" xmlns:ns3="8823c7e5-0d36-4007-8d31-f05bf490aa1c" targetNamespace="http://schemas.microsoft.com/office/2006/metadata/properties" ma:root="true" ma:fieldsID="a2ec7a8d4e36268c7eacc4736a54252c" ns1:_="" ns2:_="" ns3:_="">
    <xsd:import namespace="http://schemas.microsoft.com/sharepoint/v3"/>
    <xsd:import namespace="0d17cf8a-3704-4646-9883-959422c155c4"/>
    <xsd:import namespace="8823c7e5-0d36-4007-8d31-f05bf490aa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17cf8a-3704-4646-9883-959422c155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b9879119-90ec-455f-ab10-c39f469a9f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23c7e5-0d36-4007-8d31-f05bf490aa1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fb95fc13-fe96-41cf-b30c-73e32b0cf24c}" ma:internalName="TaxCatchAll" ma:showField="CatchAllData" ma:web="8823c7e5-0d36-4007-8d31-f05bf490aa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8823c7e5-0d36-4007-8d31-f05bf490aa1c" xsi:nil="true"/>
    <lcf76f155ced4ddcb4097134ff3c332f xmlns="0d17cf8a-3704-4646-9883-959422c155c4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D35F8F-80D0-4CBC-B144-BEBA0A9DC3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d17cf8a-3704-4646-9883-959422c155c4"/>
    <ds:schemaRef ds:uri="8823c7e5-0d36-4007-8d31-f05bf490aa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8EED2A-8E7C-4C1B-960B-88FA9F676F6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8823c7e5-0d36-4007-8d31-f05bf490aa1c"/>
    <ds:schemaRef ds:uri="0d17cf8a-3704-4646-9883-959422c155c4"/>
  </ds:schemaRefs>
</ds:datastoreItem>
</file>

<file path=customXml/itemProps3.xml><?xml version="1.0" encoding="utf-8"?>
<ds:datastoreItem xmlns:ds="http://schemas.openxmlformats.org/officeDocument/2006/customXml" ds:itemID="{C7048771-C20A-4FAA-BE38-13ACEC832B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E2A</vt:lpstr>
      <vt:lpstr>2019.2</vt:lpstr>
      <vt:lpstr>2018.1</vt:lpstr>
      <vt:lpstr>2015.2</vt:lpstr>
      <vt:lpstr>2015.1</vt:lpstr>
    </vt:vector>
  </TitlesOfParts>
  <Manager/>
  <Company>UNIVERSIDADE ANHEMBI MORUMBI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DE OLIVEIRA SANTOS</dc:creator>
  <cp:keywords/>
  <dc:description/>
  <cp:lastModifiedBy>Breno Luís Lunardi Amado</cp:lastModifiedBy>
  <cp:revision/>
  <dcterms:created xsi:type="dcterms:W3CDTF">2020-09-21T13:18:00Z</dcterms:created>
  <dcterms:modified xsi:type="dcterms:W3CDTF">2023-07-28T19:36:22Z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0x010100A3416CC90E592847B2DEB471231AB5C5</vt:lpwstr>
  </property>
  <property fmtid="{D5CDD505-2E9C-101B-9397-08002B2CF9AE}" pid="3" name="Order">
    <vt:r8>14500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